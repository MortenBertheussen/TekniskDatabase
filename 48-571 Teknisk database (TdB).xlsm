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Morten\Desktop\TekniskDatabase – Kopi\"/>
    </mc:Choice>
  </mc:AlternateContent>
  <xr:revisionPtr revIDLastSave="0" documentId="13_ncr:1_{43A7E87E-EDA1-4458-923C-330B5C993055}" xr6:coauthVersionLast="47" xr6:coauthVersionMax="47" xr10:uidLastSave="{00000000-0000-0000-0000-000000000000}"/>
  <bookViews>
    <workbookView xWindow="-1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Semantic" sheetId="9" r:id="rId6"/>
    <sheet name="Mall Logo" sheetId="5" state="hidden" r:id="rId7"/>
  </sheets>
  <functionGroups builtInGroupCount="19"/>
  <definedNames>
    <definedName name="_xlnm._FilterDatabase" localSheetId="0" hidden="1">Database!$A$10:$FD$56</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56" i="1" l="1"/>
  <c r="AI56" i="1" s="1"/>
  <c r="AH55" i="1"/>
  <c r="AI55" i="1" s="1"/>
  <c r="AH54" i="1"/>
  <c r="AI54" i="1" s="1"/>
  <c r="AH53" i="1"/>
  <c r="AI53" i="1" s="1"/>
  <c r="AH52" i="1"/>
  <c r="AI52" i="1" s="1"/>
  <c r="AH51" i="1"/>
  <c r="AI51" i="1" s="1"/>
  <c r="AH50" i="1"/>
  <c r="AI50" i="1" s="1"/>
  <c r="AH49" i="1"/>
  <c r="AI49" i="1" s="1"/>
  <c r="AH48" i="1"/>
  <c r="AI48" i="1" s="1"/>
  <c r="AH47" i="1"/>
  <c r="AI47" i="1" s="1"/>
  <c r="AH46" i="1"/>
  <c r="AI46" i="1" s="1"/>
  <c r="AH45" i="1"/>
  <c r="AI45" i="1" s="1"/>
  <c r="AH44" i="1"/>
  <c r="AI44" i="1" s="1"/>
  <c r="AH43" i="1"/>
  <c r="AI43" i="1" s="1"/>
  <c r="AH42" i="1"/>
  <c r="AI42" i="1" s="1"/>
  <c r="AH41" i="1"/>
  <c r="AI41" i="1" s="1"/>
  <c r="AH40" i="1"/>
  <c r="AI40" i="1" s="1"/>
  <c r="AH39" i="1"/>
  <c r="AI39" i="1" s="1"/>
  <c r="AH38" i="1"/>
  <c r="AI38" i="1" s="1"/>
  <c r="AH37" i="1"/>
  <c r="AI37" i="1" s="1"/>
  <c r="AH36" i="1"/>
  <c r="AI36" i="1" s="1"/>
  <c r="AH35" i="1"/>
  <c r="AI35" i="1" s="1"/>
  <c r="AH34" i="1"/>
  <c r="AI34" i="1" s="1"/>
  <c r="AH33" i="1"/>
  <c r="AI33" i="1" s="1"/>
  <c r="AH32" i="1"/>
  <c r="AI32" i="1" s="1"/>
  <c r="AH31" i="1"/>
  <c r="AI31" i="1" s="1"/>
  <c r="AH30" i="1"/>
  <c r="AI30" i="1" s="1"/>
  <c r="AH29" i="1"/>
  <c r="AI29" i="1" s="1"/>
  <c r="AH28" i="1"/>
  <c r="AI28" i="1" s="1"/>
  <c r="AH27" i="1"/>
  <c r="AI27" i="1" s="1"/>
  <c r="AH26" i="1"/>
  <c r="AI26" i="1" s="1"/>
  <c r="AH25" i="1"/>
  <c r="AI25" i="1" s="1"/>
  <c r="AH24" i="1"/>
  <c r="AI24" i="1" s="1"/>
  <c r="AH23" i="1"/>
  <c r="AI23" i="1" s="1"/>
  <c r="AH22" i="1"/>
  <c r="AI22" i="1" s="1"/>
  <c r="AH21" i="1"/>
  <c r="AI21" i="1" s="1"/>
  <c r="AH20" i="1"/>
  <c r="AI20" i="1" s="1"/>
  <c r="AH19" i="1"/>
  <c r="AI19" i="1" s="1"/>
  <c r="AH18" i="1"/>
  <c r="AI18" i="1" s="1"/>
  <c r="AH17" i="1"/>
  <c r="AI17" i="1" s="1"/>
  <c r="AH16" i="1"/>
  <c r="AI16" i="1" s="1"/>
  <c r="AH15" i="1"/>
  <c r="AI15" i="1" s="1"/>
  <c r="AH14" i="1"/>
  <c r="AI14" i="1" s="1"/>
  <c r="AH13" i="1"/>
  <c r="AI13" i="1" s="1"/>
  <c r="AH12" i="1"/>
  <c r="AI12" i="1" s="1"/>
  <c r="AH11" i="1"/>
  <c r="AI11" i="1" s="1"/>
  <c r="BI4" i="1"/>
  <c r="AV8" i="1"/>
  <c r="AW8" i="1"/>
  <c r="A5" i="5"/>
  <c r="A4" i="5"/>
  <c r="BL8" i="1"/>
  <c r="BM8" i="1"/>
  <c r="BN8" i="1"/>
  <c r="BN4" i="1" s="1"/>
  <c r="BO8" i="1"/>
  <c r="BP8" i="1"/>
  <c r="BP4" i="1" s="1"/>
  <c r="BQ8" i="1"/>
  <c r="BQ4" i="1" s="1"/>
  <c r="G5" i="1"/>
  <c r="B5" i="3" s="1"/>
  <c r="EW4" i="1"/>
  <c r="EW5" i="1" s="1"/>
  <c r="C31" i="3" s="1"/>
  <c r="D31" i="3" s="1"/>
  <c r="E32" i="3"/>
  <c r="E33" i="3"/>
  <c r="C19" i="3"/>
  <c r="A3" i="3"/>
  <c r="C3" i="3"/>
  <c r="A4" i="3"/>
  <c r="C4" i="3"/>
  <c r="D4" i="3"/>
  <c r="A5" i="3"/>
  <c r="C5" i="3"/>
  <c r="G1" i="2"/>
  <c r="E1" i="2"/>
  <c r="A1" i="2"/>
  <c r="EH5" i="1" l="1"/>
  <c r="D16" i="3" s="1"/>
  <c r="EK5" i="1"/>
  <c r="D17" i="3" s="1"/>
  <c r="DI5" i="1"/>
  <c r="D14" i="3" s="1"/>
  <c r="DA5" i="1"/>
  <c r="D13" i="3" s="1"/>
  <c r="L5" i="1"/>
  <c r="D5" i="3" s="1"/>
  <c r="DU5" i="1"/>
  <c r="D15" i="3" s="1"/>
  <c r="BH8" i="1"/>
  <c r="EV3" i="1" s="1"/>
  <c r="EX4" i="1"/>
  <c r="C29" i="3" s="1"/>
  <c r="ET9" i="1"/>
  <c r="AS8" i="1" s="1"/>
  <c r="EV4" i="1"/>
  <c r="BM4" i="1"/>
  <c r="BJ4" i="1" s="1"/>
  <c r="D19" i="3" l="1"/>
  <c r="D29" i="3" s="1"/>
  <c r="E29" i="3" s="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Frafjord, Eivind</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 ref="BL20" authorId="2" shapeId="0" xr:uid="{977C3B7F-4C39-49D4-9CEA-3DBDF2F0CCDA}">
      <text>
        <r>
          <rPr>
            <b/>
            <sz val="9"/>
            <color indexed="81"/>
            <rFont val="Tahoma"/>
            <family val="2"/>
          </rPr>
          <t>Frafjord, Eivind:</t>
        </r>
        <r>
          <rPr>
            <sz val="9"/>
            <color indexed="81"/>
            <rFont val="Tahoma"/>
            <family val="2"/>
          </rPr>
          <t xml:space="preserve">
Har sokkel
Estimert leveranse av IO 02.05.24</t>
        </r>
      </text>
    </comment>
    <comment ref="BL27" authorId="2" shapeId="0" xr:uid="{0A8023CC-38D9-4382-836F-2C37511E3BE7}">
      <text>
        <r>
          <rPr>
            <b/>
            <sz val="9"/>
            <color indexed="81"/>
            <rFont val="Tahoma"/>
            <family val="2"/>
          </rPr>
          <t>Frafjord, Eivind:</t>
        </r>
        <r>
          <rPr>
            <sz val="9"/>
            <color indexed="81"/>
            <rFont val="Tahoma"/>
            <family val="2"/>
          </rPr>
          <t xml:space="preserve">
Har sokkel
Estimert leveranse av IO 02.05.24</t>
        </r>
      </text>
    </comment>
    <comment ref="BL28" authorId="2" shapeId="0" xr:uid="{BF522C54-17CA-498D-9908-8718BCD52606}">
      <text>
        <r>
          <rPr>
            <b/>
            <sz val="9"/>
            <color indexed="81"/>
            <rFont val="Tahoma"/>
            <family val="2"/>
          </rPr>
          <t>Frafjord, Eivind:</t>
        </r>
        <r>
          <rPr>
            <sz val="9"/>
            <color indexed="81"/>
            <rFont val="Tahoma"/>
            <family val="2"/>
          </rPr>
          <t xml:space="preserve">
Har sokkel
Estimert leveranse av IO 02.05.24</t>
        </r>
      </text>
    </comment>
    <comment ref="BL29" authorId="2" shapeId="0" xr:uid="{A98A3BD0-69A2-4B36-8183-9EEE6A4C9F2E}">
      <text>
        <r>
          <rPr>
            <b/>
            <sz val="9"/>
            <color indexed="81"/>
            <rFont val="Tahoma"/>
            <family val="2"/>
          </rPr>
          <t>Frafjord, Eivind:</t>
        </r>
        <r>
          <rPr>
            <sz val="9"/>
            <color indexed="81"/>
            <rFont val="Tahoma"/>
            <family val="2"/>
          </rPr>
          <t xml:space="preserve">
Har sokkel
Estimert leveranse av IO 02.05.24</t>
        </r>
      </text>
    </comment>
    <comment ref="BL30" authorId="2" shapeId="0" xr:uid="{A388BBE3-49BC-4262-8DFA-E3FBA9803E3E}">
      <text>
        <r>
          <rPr>
            <b/>
            <sz val="9"/>
            <color indexed="81"/>
            <rFont val="Tahoma"/>
            <family val="2"/>
          </rPr>
          <t>Frafjord, Eivind:</t>
        </r>
        <r>
          <rPr>
            <sz val="9"/>
            <color indexed="81"/>
            <rFont val="Tahoma"/>
            <family val="2"/>
          </rPr>
          <t xml:space="preserve">
Har sokkel
Estimert leveranse av IO 02.05.24</t>
        </r>
      </text>
    </comment>
    <comment ref="BL34" authorId="2" shapeId="0" xr:uid="{7E6E8D25-13BF-4CE7-B53D-D0F4EDC1DE7B}">
      <text>
        <r>
          <rPr>
            <b/>
            <sz val="9"/>
            <color indexed="81"/>
            <rFont val="Tahoma"/>
            <family val="2"/>
          </rPr>
          <t>Frafjord, Eivind:</t>
        </r>
        <r>
          <rPr>
            <sz val="9"/>
            <color indexed="81"/>
            <rFont val="Tahoma"/>
            <family val="2"/>
          </rPr>
          <t xml:space="preserve">
Har sokkel
Estimert leveranse av IO 02.05.24</t>
        </r>
      </text>
    </comment>
    <comment ref="BL36" authorId="2" shapeId="0" xr:uid="{A25A1894-60E6-44D9-9291-2076434E3F36}">
      <text>
        <r>
          <rPr>
            <b/>
            <sz val="9"/>
            <color indexed="81"/>
            <rFont val="Tahoma"/>
            <family val="2"/>
          </rPr>
          <t>Frafjord, Eivind:</t>
        </r>
        <r>
          <rPr>
            <sz val="9"/>
            <color indexed="81"/>
            <rFont val="Tahoma"/>
            <family val="2"/>
          </rPr>
          <t xml:space="preserve">
Har sokkel
Estimert leveranse av IO 02.05.24</t>
        </r>
      </text>
    </comment>
    <comment ref="BL43" authorId="2" shapeId="0" xr:uid="{6CBC7A43-4C5F-4B17-A692-B6CBAFD1DCC7}">
      <text>
        <r>
          <rPr>
            <b/>
            <sz val="9"/>
            <color indexed="81"/>
            <rFont val="Tahoma"/>
            <family val="2"/>
          </rPr>
          <t>Frafjord, Eivind:</t>
        </r>
        <r>
          <rPr>
            <sz val="9"/>
            <color indexed="81"/>
            <rFont val="Tahoma"/>
            <family val="2"/>
          </rPr>
          <t xml:space="preserve">
Har sokkel
Estimert leveranse av IO 02.05.24</t>
        </r>
      </text>
    </comment>
    <comment ref="BL44" authorId="2" shapeId="0" xr:uid="{40EA9AA7-AC2B-4455-9B72-2A215868252C}">
      <text>
        <r>
          <rPr>
            <b/>
            <sz val="9"/>
            <color indexed="81"/>
            <rFont val="Tahoma"/>
            <family val="2"/>
          </rPr>
          <t>Frafjord, Eivind:</t>
        </r>
        <r>
          <rPr>
            <sz val="9"/>
            <color indexed="81"/>
            <rFont val="Tahoma"/>
            <family val="2"/>
          </rPr>
          <t xml:space="preserve">
Har sokkel
Estimert leveranse av IO 02.05.24</t>
        </r>
      </text>
    </comment>
    <comment ref="BL53" authorId="2" shapeId="0" xr:uid="{78A64F5A-692D-4ABD-9102-190869C7D073}">
      <text>
        <r>
          <rPr>
            <b/>
            <sz val="9"/>
            <color indexed="81"/>
            <rFont val="Tahoma"/>
            <family val="2"/>
          </rPr>
          <t>Frafjord, Eivind:</t>
        </r>
        <r>
          <rPr>
            <sz val="9"/>
            <color indexed="81"/>
            <rFont val="Tahoma"/>
            <family val="2"/>
          </rPr>
          <t xml:space="preserve">
Har sokkel
Estimert leveranse av IO 02.05.24</t>
        </r>
      </text>
    </comment>
    <comment ref="BL54" authorId="2" shapeId="0" xr:uid="{C2AB2859-30E0-4223-9D04-FCC8F77D13A6}">
      <text>
        <r>
          <rPr>
            <b/>
            <sz val="9"/>
            <color indexed="81"/>
            <rFont val="Tahoma"/>
            <family val="2"/>
          </rPr>
          <t>Frafjord, Eivind:</t>
        </r>
        <r>
          <rPr>
            <sz val="9"/>
            <color indexed="81"/>
            <rFont val="Tahoma"/>
            <family val="2"/>
          </rPr>
          <t xml:space="preserve">
Har sokkel
Estimert leveranse av IO 02.05.24</t>
        </r>
      </text>
    </comment>
  </commentList>
</comments>
</file>

<file path=xl/sharedStrings.xml><?xml version="1.0" encoding="utf-8"?>
<sst xmlns="http://schemas.openxmlformats.org/spreadsheetml/2006/main" count="1050" uniqueCount="549">
  <si>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</si>
  <si>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</si>
  <si>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</si>
  <si>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</si>
  <si>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</si>
  <si>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</si>
  <si>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</si>
  <si>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</si>
  <si>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</si>
  <si>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</si>
  <si>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</si>
  <si>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</si>
  <si>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</si>
  <si>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</si>
  <si>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</si>
  <si>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</si>
  <si>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</si>
  <si>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</si>
  <si>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</si>
  <si>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</si>
  <si>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</si>
  <si>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</si>
  <si>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</si>
  <si>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</si>
  <si>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</si>
  <si>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</si>
  <si>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</si>
  <si>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</si>
  <si>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</si>
  <si>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</si>
  <si>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</si>
  <si>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</si>
  <si>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</si>
  <si>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</si>
  <si>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</si>
  <si>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</si>
  <si>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</si>
  <si>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</si>
  <si>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</si>
  <si>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</si>
  <si>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</si>
  <si>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</si>
  <si>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</si>
  <si>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</si>
  <si>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</si>
  <si>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</si>
  <si>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</si>
  <si>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</si>
  <si>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</si>
  <si>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</si>
  <si>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</si>
  <si>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</si>
  <si>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</si>
  <si>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</si>
  <si>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</si>
  <si>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</si>
  <si>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</si>
  <si>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</si>
  <si>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</si>
  <si>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</si>
  <si>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</si>
  <si>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</si>
  <si>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</si>
  <si>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</si>
  <si>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</si>
  <si>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</si>
  <si>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</si>
  <si>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</si>
  <si>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</si>
  <si>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</si>
  <si>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</si>
  <si>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</si>
  <si>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</si>
  <si>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</si>
  <si>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</si>
  <si>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</si>
  <si>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</si>
  <si>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</si>
  <si>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</si>
  <si>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</si>
  <si>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</si>
  <si>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</si>
  <si>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</si>
  <si>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</si>
  <si>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</si>
  <si>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</si>
  <si>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</si>
  <si>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</si>
  <si>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</si>
  <si>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</si>
  <si>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</si>
  <si>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</si>
  <si>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</si>
  <si>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</si>
  <si>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</si>
  <si>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</si>
  <si>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</si>
  <si>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</si>
  <si>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</si>
  <si>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</si>
  <si>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</si>
  <si>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</si>
  <si>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</si>
  <si>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</si>
  <si>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</si>
  <si>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</si>
  <si>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</si>
  <si>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</si>
  <si>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</si>
  <si>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</si>
  <si>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</si>
  <si>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</si>
  <si>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</si>
  <si>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</si>
  <si>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</si>
  <si>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</si>
  <si>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</si>
  <si>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</si>
  <si>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</si>
  <si>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</si>
  <si>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</si>
  <si>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</si>
  <si>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</si>
  <si>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</si>
  <si>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</si>
  <si>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</si>
  <si>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</si>
  <si>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</si>
  <si>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</si>
  <si>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</si>
  <si>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</si>
  <si>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</si>
  <si>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</si>
  <si>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</si>
  <si>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</si>
  <si>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</si>
  <si>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</si>
  <si>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</si>
  <si>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</si>
  <si>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</si>
  <si>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</si>
  <si>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</si>
  <si>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</si>
  <si>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</si>
  <si>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</si>
  <si>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</si>
  <si>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</si>
  <si>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</si>
  <si>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</si>
  <si>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</si>
  <si>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</si>
  <si>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</si>
  <si>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</si>
  <si>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</si>
  <si>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</si>
  <si>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</si>
  <si>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</si>
  <si>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</si>
  <si>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</si>
  <si>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</si>
  <si>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</si>
  <si>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</si>
  <si>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</si>
  <si>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</si>
  <si>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</si>
  <si>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</si>
  <si>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</si>
  <si>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</si>
  <si>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</si>
  <si>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</si>
  <si>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</si>
  <si>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</si>
  <si>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</si>
  <si>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</si>
  <si>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</si>
  <si>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</si>
  <si>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</si>
  <si>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</si>
  <si>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</si>
  <si>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</si>
  <si>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</si>
  <si>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</si>
  <si>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</si>
  <si>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</si>
  <si>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</si>
  <si>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</si>
  <si>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</si>
  <si>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</si>
  <si>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</si>
  <si>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</si>
  <si>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</si>
  <si>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</si>
  <si>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</si>
  <si>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</si>
  <si>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</si>
  <si>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</si>
  <si>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</si>
  <si>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</si>
  <si>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</si>
  <si>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</si>
  <si>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</si>
  <si>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</si>
  <si>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</si>
  <si>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</si>
  <si>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</si>
  <si>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</si>
  <si>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</si>
  <si>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</si>
  <si>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</si>
  <si>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</si>
  <si>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</si>
  <si>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</si>
  <si>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</si>
  <si>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</si>
  <si>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</si>
  <si>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</si>
  <si>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</si>
  <si>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</si>
  <si>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</si>
  <si>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</si>
  <si>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</si>
  <si>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</si>
  <si>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</si>
  <si>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</si>
  <si>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</si>
  <si>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</si>
  <si>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</si>
  <si>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</si>
  <si>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</si>
  <si>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</si>
  <si>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</si>
  <si>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</si>
  <si>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</si>
  <si>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</si>
  <si>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</si>
  <si>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</si>
  <si>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</si>
  <si>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</si>
  <si>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</si>
  <si>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</si>
  <si>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</si>
  <si>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</si>
  <si>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</si>
  <si>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</si>
  <si>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</si>
  <si>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</si>
  <si>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</si>
  <si>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</si>
  <si>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</si>
  <si>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</si>
  <si>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</si>
  <si>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</si>
  <si>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</si>
  <si>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</si>
  <si>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</si>
  <si>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</si>
  <si>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</si>
  <si>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</si>
  <si>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</si>
  <si>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</si>
  <si>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</si>
  <si>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</si>
  <si>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</si>
  <si>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</si>
  <si>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</si>
  <si>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</si>
  <si>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</si>
  <si>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</si>
  <si>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</si>
  <si>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</si>
  <si>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</si>
  <si>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</si>
  <si>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</si>
  <si>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</si>
  <si>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</si>
  <si>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</si>
  <si>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</si>
  <si>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</si>
  <si>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</si>
  <si>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</si>
  <si>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</si>
  <si>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</si>
  <si>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</si>
  <si>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</si>
  <si>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</si>
  <si>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</si>
  <si>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</si>
  <si>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</si>
  <si>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</si>
  <si>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</si>
  <si>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</si>
  <si>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</si>
  <si>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</si>
  <si>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</si>
  <si>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</si>
  <si>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</si>
  <si>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</si>
  <si>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</si>
  <si>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</si>
  <si>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</si>
  <si>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</si>
  <si>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</si>
  <si>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</si>
  <si>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</si>
  <si>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</si>
  <si>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</si>
  <si>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</si>
  <si>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</si>
  <si>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</si>
  <si>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</si>
  <si>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</si>
  <si>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</si>
  <si>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</si>
  <si>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</si>
  <si>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</si>
  <si>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</si>
  <si>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</si>
  <si>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</si>
  <si>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</si>
  <si>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</si>
  <si>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</si>
  <si>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</si>
  <si>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</si>
  <si>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</si>
  <si>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</si>
  <si>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</si>
  <si>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</si>
  <si>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</si>
  <si>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</si>
  <si>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</si>
  <si>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</si>
  <si>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</si>
  <si>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</si>
  <si>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</si>
  <si>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</si>
  <si>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</si>
  <si>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</si>
  <si>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</si>
  <si>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</si>
  <si>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</si>
  <si>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</si>
  <si>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</si>
  <si>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</si>
  <si>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</si>
  <si>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</si>
  <si>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</si>
  <si>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</si>
  <si>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</si>
  <si>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</si>
  <si>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</si>
  <si>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</si>
  <si>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</si>
  <si>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</si>
  <si>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</si>
  <si>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</si>
  <si>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</si>
  <si>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</si>
  <si>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</si>
  <si>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</si>
  <si>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</si>
  <si>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</si>
  <si>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</si>
  <si>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</si>
  <si>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</si>
  <si>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</si>
  <si>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</si>
  <si>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</si>
  <si>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</si>
  <si>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</si>
  <si>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</si>
  <si>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</si>
  <si>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</si>
  <si>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</si>
  <si>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</si>
  <si>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</si>
  <si>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</si>
  <si>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</si>
  <si>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</si>
  <si>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</si>
  <si>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</si>
  <si>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</si>
  <si>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</si>
  <si>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</si>
  <si>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</si>
  <si>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</si>
  <si>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</si>
  <si>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</si>
  <si>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</si>
  <si>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</si>
  <si>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</si>
  <si>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</si>
  <si>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</si>
  <si>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</si>
  <si>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</si>
  <si>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</si>
  <si>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</si>
  <si>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</si>
  <si>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</si>
  <si>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</si>
  <si>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</si>
  <si>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</si>
  <si>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</si>
  <si>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</si>
  <si>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</si>
  <si>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</si>
  <si>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</si>
  <si>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</si>
  <si>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</si>
  <si>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</si>
  <si>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</si>
  <si>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</si>
  <si>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</si>
  <si>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</si>
  <si>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</si>
  <si>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</si>
  <si>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</si>
  <si>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</si>
  <si>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</si>
  <si>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</si>
  <si>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</si>
  <si>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</si>
  <si>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</si>
  <si>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</si>
  <si>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</si>
  <si>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</si>
  <si>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</si>
  <si>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</si>
  <si>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</si>
  <si>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</si>
  <si>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</si>
  <si>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</si>
  <si>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</si>
  <si>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</si>
  <si>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</si>
  <si>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</si>
  <si>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</si>
  <si>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</si>
  <si>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</si>
  <si>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</si>
  <si>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</si>
  <si>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</si>
  <si>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</si>
  <si>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tiss</t>
  </si>
  <si>
    <t>ALLE KOLONNER</t>
  </si>
  <si>
    <t>AVANSERT</t>
  </si>
  <si>
    <t xml:space="preserve">Stenge-/spjeldventil, motorstyrt </t>
  </si>
  <si>
    <t>Spjeldventil PA-GF</t>
  </si>
  <si>
    <t>Endebryter, Åpen og stengt</t>
  </si>
  <si>
    <t>Georg Fisher</t>
  </si>
  <si>
    <t xml:space="preserve">Trykkgiver, væske     Tur </t>
  </si>
  <si>
    <t>Mottatt</t>
  </si>
  <si>
    <t>0-2,5 bar</t>
  </si>
  <si>
    <t>0-10V</t>
  </si>
  <si>
    <t>QBE2003-P2.5</t>
  </si>
  <si>
    <t>Siemens</t>
  </si>
  <si>
    <t>Trykkgiver, væske     Retur</t>
  </si>
  <si>
    <t>Temperaturgiver</t>
  </si>
  <si>
    <t>-50C°- +150C°</t>
  </si>
  <si>
    <t>TEAT LU TE-N V2</t>
  </si>
  <si>
    <t>TE-N V2</t>
  </si>
  <si>
    <t>Produal</t>
  </si>
  <si>
    <t>Temperaturgiver Retur</t>
  </si>
  <si>
    <t>Trykkgiver, væske Retur</t>
  </si>
  <si>
    <t>230/1</t>
  </si>
  <si>
    <t xml:space="preserve">Strømningsmåler, sjøvann </t>
  </si>
  <si>
    <t>SITRANS FM MAG 5100W</t>
  </si>
  <si>
    <t>Modbus</t>
  </si>
  <si>
    <t xml:space="preserve">Spjeldventil m. regul.karakteristikk </t>
  </si>
  <si>
    <t>Spjeldventil DN150</t>
  </si>
  <si>
    <t>146 PVC-U</t>
  </si>
  <si>
    <t>Spjeldventil DN100</t>
  </si>
  <si>
    <t>Estimert 26.04.2024</t>
  </si>
  <si>
    <t xml:space="preserve">Fukt-/vannlekkasjedeteksjon </t>
  </si>
  <si>
    <t>VVA2</t>
  </si>
  <si>
    <t>Carlo Gavazzi</t>
  </si>
  <si>
    <t>Signalomformer</t>
  </si>
  <si>
    <t>VVK2</t>
  </si>
  <si>
    <t>Temperaturgiver Tur</t>
  </si>
  <si>
    <t>Differansetrykkgiver</t>
  </si>
  <si>
    <t>General enteprise</t>
  </si>
  <si>
    <t>VPEL 1.0/2.5</t>
  </si>
  <si>
    <t>Pumpe</t>
  </si>
  <si>
    <t>Rørlegger</t>
  </si>
  <si>
    <t>Frekvensomformer</t>
  </si>
  <si>
    <t>Servicebryter</t>
  </si>
  <si>
    <t>Elektriker</t>
  </si>
  <si>
    <t>Spjeldventil m. regul.karakteristikk</t>
  </si>
  <si>
    <t>Spjeldventil DN125</t>
  </si>
  <si>
    <t>Neste Prosjekt</t>
  </si>
  <si>
    <t>Energimåler</t>
  </si>
  <si>
    <t>Major</t>
  </si>
  <si>
    <t>Minor</t>
  </si>
  <si>
    <t>Patch</t>
  </si>
  <si>
    <t>Comment</t>
  </si>
  <si>
    <t>Solve the problem with onedrive syncronization e.g. current directory compatibility.</t>
  </si>
  <si>
    <t>Stabile prototype.</t>
  </si>
  <si>
    <t xml:space="preserve">Refactor code to make sure it's compliant for all worksheets, by prompting the user for input. </t>
  </si>
  <si>
    <t>-</t>
  </si>
  <si>
    <t>390</t>
  </si>
  <si>
    <t>005</t>
  </si>
  <si>
    <t>04-SCZ510</t>
  </si>
  <si>
    <t>04-RPB410</t>
  </si>
  <si>
    <t>04-RPB510</t>
  </si>
  <si>
    <t>04-RTB420</t>
  </si>
  <si>
    <t>05-RTB520</t>
  </si>
  <si>
    <t>05-RPB520</t>
  </si>
  <si>
    <t>04-SCZ420</t>
  </si>
  <si>
    <t>04-SCZ421</t>
  </si>
  <si>
    <t>05-SCZ520</t>
  </si>
  <si>
    <t>05-SCZ521</t>
  </si>
  <si>
    <t>04-RFB420</t>
  </si>
  <si>
    <t>05-SBB520</t>
  </si>
  <si>
    <t>05-SBB521</t>
  </si>
  <si>
    <t>04-RTB430</t>
  </si>
  <si>
    <t>05-RTB530</t>
  </si>
  <si>
    <t>05-RPB530</t>
  </si>
  <si>
    <t>04-SCZ430</t>
  </si>
  <si>
    <t>04-SCZ431</t>
  </si>
  <si>
    <t>05-SCZ530</t>
  </si>
  <si>
    <t>05-SCZ531</t>
  </si>
  <si>
    <t>04-RFB430</t>
  </si>
  <si>
    <t>05-SBB530</t>
  </si>
  <si>
    <t>05-SBB531</t>
  </si>
  <si>
    <t>QHZ601</t>
  </si>
  <si>
    <t>LOZ601</t>
  </si>
  <si>
    <t>QHZ602</t>
  </si>
  <si>
    <t>LOZ602</t>
  </si>
  <si>
    <t/>
  </si>
  <si>
    <t>370</t>
  </si>
  <si>
    <t>010</t>
  </si>
  <si>
    <t>04-RTB480</t>
  </si>
  <si>
    <t>05-RTB580</t>
  </si>
  <si>
    <t>05-RDB580</t>
  </si>
  <si>
    <t>05-JPA580</t>
  </si>
  <si>
    <t>05-LRB580</t>
  </si>
  <si>
    <t>XSD580</t>
  </si>
  <si>
    <t>04-SBB480</t>
  </si>
  <si>
    <t>05-RTB502</t>
  </si>
  <si>
    <t>350</t>
  </si>
  <si>
    <t>001</t>
  </si>
  <si>
    <t>04-RTB401</t>
  </si>
  <si>
    <t>05-RDB501</t>
  </si>
  <si>
    <t>04-OEA400</t>
  </si>
  <si>
    <t>04-JPA450</t>
  </si>
  <si>
    <t>04-LRB450</t>
  </si>
  <si>
    <t>04-XSD450</t>
  </si>
  <si>
    <t>05-RDB550</t>
  </si>
  <si>
    <t>003</t>
  </si>
  <si>
    <t>04-OEA451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</si>
</sst>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9"/>
      <color indexed="81"/>
      <name val="Tahoma"/>
      <family val="2"/>
    </font>
    <font>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601">
    <xf numFmtId="0" fontId="0" fillId="0" borderId="0" xfId="0"/>
    <xf numFmtId="0" fontId="10" fillId="0" borderId="0" xfId="0" applyFont="1" applyAlignment="1">
      <alignment horizontal="right"/>
    </xf>
    <xf numFmtId="9" fontId="10" fillId="0" borderId="0" xfId="1"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0" xfId="0" applyFont="1" applyAlignment="1" applyProtection="1">
      <alignment horizontal="center" wrapText="1"/>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1" applyFont="1"/>
    <xf numFmtId="9" fontId="9" fillId="0" borderId="1" xfId="1"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1"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1"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1" applyFont="1"/>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2" applyNumberFormat="1" applyFont="1" applyFill="1" applyBorder="1" applyProtection="1"/>
    <xf numFmtId="171" fontId="2" fillId="0" borderId="38" xfId="2" applyNumberFormat="1" applyFont="1" applyFill="1" applyBorder="1" applyProtection="1"/>
    <xf numFmtId="171" fontId="2" fillId="0" borderId="32" xfId="2"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1"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2"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2"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2"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2" applyNumberFormat="1" applyFont="1" applyFill="1" applyBorder="1" applyAlignment="1" applyProtection="1">
      <alignment horizontal="centerContinuous"/>
      <protection locked="0"/>
    </xf>
    <xf numFmtId="167" fontId="4" fillId="10" borderId="20" xfId="2"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1" applyFont="1" applyFill="1" applyBorder="1" applyAlignment="1" applyProtection="1">
      <alignment horizontal="right"/>
      <protection locked="0"/>
    </xf>
    <xf numFmtId="9" fontId="28" fillId="10" borderId="18" xfId="1" applyFont="1" applyFill="1" applyBorder="1" applyAlignment="1" applyProtection="1">
      <alignment horizontal="right"/>
    </xf>
    <xf numFmtId="9" fontId="28" fillId="10" borderId="20" xfId="1"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2"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1"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1"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1" applyFont="1" applyFill="1" applyBorder="1" applyAlignment="1" applyProtection="1">
      <alignment horizontal="centerContinuous" vertical="center"/>
      <protection locked="0"/>
    </xf>
    <xf numFmtId="9" fontId="3" fillId="10" borderId="56" xfId="1" applyFont="1" applyFill="1" applyBorder="1" applyAlignment="1" applyProtection="1">
      <alignment horizontal="centerContinuous" vertical="center"/>
      <protection locked="0"/>
    </xf>
    <xf numFmtId="9" fontId="3" fillId="10" borderId="57" xfId="1"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165" fontId="1" fillId="0" borderId="2" xfId="0" quotePrefix="1" applyNumberFormat="1" applyFont="1" applyBorder="1" applyAlignment="1" applyProtection="1">
      <alignment horizontal="right"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3" fillId="0" borderId="6" xfId="0" quotePrefix="1" applyFont="1" applyBorder="1" applyAlignment="1" applyProtection="1">
      <alignment horizontal="center" vertical="center"/>
      <protection locked="0"/>
    </xf>
    <xf numFmtId="0" fontId="1" fillId="14" borderId="7" xfId="0" applyFont="1" applyFill="1" applyBorder="1" applyAlignment="1" applyProtection="1">
      <alignment horizontal="left" vertical="center"/>
      <protection locked="0"/>
    </xf>
    <xf numFmtId="0" fontId="1" fillId="0" borderId="9" xfId="0"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0" borderId="3" xfId="0" applyFont="1" applyBorder="1" applyAlignment="1" applyProtection="1">
      <alignment vertical="center"/>
      <protection locked="0"/>
    </xf>
    <xf numFmtId="1" fontId="32" fillId="10" borderId="9" xfId="0" applyNumberFormat="1" applyFont="1" applyFill="1" applyBorder="1" applyAlignment="1" applyProtection="1">
      <alignment horizontal="center" vertical="center"/>
      <protection locked="0"/>
    </xf>
    <xf numFmtId="0" fontId="1" fillId="10" borderId="8" xfId="0" applyFont="1" applyFill="1" applyBorder="1" applyAlignment="1" applyProtection="1">
      <alignment horizontal="left" vertical="top"/>
      <protection locked="0"/>
    </xf>
    <xf numFmtId="0" fontId="1" fillId="0" borderId="0" xfId="0" applyFont="1"/>
    <xf numFmtId="0" fontId="1" fillId="0" borderId="0" xfId="0" applyFont="1" applyAlignment="1">
      <alignment wrapText="1"/>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0" fontId="2"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0" fontId="1" fillId="0" borderId="2" xfId="0" applyFont="1" applyBorder="1" applyProtection="1">
      <protection locked="0"/>
    </xf>
    <xf numFmtId="0" fontId="1" fillId="0" borderId="57" xfId="0" quotePrefix="1" applyFont="1" applyBorder="1" applyAlignment="1" applyProtection="1">
      <alignment horizontal="center" vertical="center"/>
      <protection locked="0"/>
    </xf>
  </cellXfs>
  <cellStyles count="3">
    <cellStyle name="Comma [0]" xfId="2" builtinId="6"/>
    <cellStyle name="Normal" xfId="0" builtinId="0"/>
    <cellStyle name="Per 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6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produal-pim.rockon.io/rockon/api/v1/int/extmedia/openFile/01TGWJBKHNSE2YZMOW5VCIRFBAVXEK2CLQ" TargetMode="External"/><Relationship Id="rId21"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2"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4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63" Type="http://schemas.openxmlformats.org/officeDocument/2006/relationships/hyperlink" Target="https://www.gfps.com/content/dam/gfps/com/datasheets/pim/3/3/8/1/0/6/3/p6G1O23AD.pdf?filename=gfps-datasheet-Lug-Style%20end%20installation%20butterfly%20valve%20type%20146%20PVC-U-199146045" TargetMode="External"/><Relationship Id="rId68" Type="http://schemas.openxmlformats.org/officeDocument/2006/relationships/vmlDrawing" Target="../drawings/vmlDrawing1.vml"/><Relationship Id="rId2"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9" Type="http://schemas.openxmlformats.org/officeDocument/2006/relationships/hyperlink" Target="https://cache.industry.siemens.com/dl/files/956/109764956/att_1265187/v1/sitransf_fmmag5100w_fi01_en.pdf" TargetMode="External"/><Relationship Id="rId11" Type="http://schemas.openxmlformats.org/officeDocument/2006/relationships/hyperlink" Target="https://cache.industry.siemens.com/dl/files/956/109764956/att_1265187/v1/sitransf_fmmag5100w_fi01_en.pdf" TargetMode="External"/><Relationship Id="rId2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32" Type="http://schemas.openxmlformats.org/officeDocument/2006/relationships/hyperlink" Target="https://www.gavazzi.no/wp-content/uploads/VVA2Technicalbrochure-da_DK.pdf" TargetMode="External"/><Relationship Id="rId37" Type="http://schemas.openxmlformats.org/officeDocument/2006/relationships/hyperlink" Target="https://www.gfps.com/content/dam/gfps/com/datasheets/pim/3/3/8/1/0/6/3/p6G1O23AD.pdf?filename=gfps-datasheet-Lug-Style%20end%20installation%20butterfly%20valve%20type%20146%20PVC-U-199146047" TargetMode="External"/><Relationship Id="rId40" Type="http://schemas.openxmlformats.org/officeDocument/2006/relationships/hyperlink" Target="https://produal-pim.rockon.io/rockon/api/v1/int/extmedia/openFile/01TGWJBKBS7AMIDS7ILZHLV32I2LYUKFEW" TargetMode="External"/><Relationship Id="rId45" Type="http://schemas.openxmlformats.org/officeDocument/2006/relationships/hyperlink" Target="https://www.gavazzi.no/wp-content/uploads/VVK2Technicalbrochure-da_DK.pdf" TargetMode="External"/><Relationship Id="rId5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58" Type="http://schemas.openxmlformats.org/officeDocument/2006/relationships/hyperlink" Target="https://produal-pim.rockon.io/rockon/api/v1/int/extmedia/openFile/01TGWJBKHNSE2YZMOW5VCIRFBAVXEK2CLQ" TargetMode="External"/><Relationship Id="rId66" Type="http://schemas.openxmlformats.org/officeDocument/2006/relationships/printerSettings" Target="../printerSettings/printerSettings2.bin"/><Relationship Id="rId74" Type="http://schemas.openxmlformats.org/officeDocument/2006/relationships/comments" Target="../comments1.xml"/><Relationship Id="rId5" Type="http://schemas.openxmlformats.org/officeDocument/2006/relationships/hyperlink" Target="https://www.gfps.com/content/dam/gfps/com/datasheets/pim/3/3/8/1/0/6/3/p6G1O23AD.pdf?filename=gfps-datasheet-Lug-Style%20end%20installation%20butterfly%20valve%20type%20146%20PVC-U-199146047" TargetMode="External"/><Relationship Id="rId61" Type="http://schemas.openxmlformats.org/officeDocument/2006/relationships/hyperlink" Target="https://cache.industry.siemens.com/dl/files/956/109764956/att_1265187/v1/sitransf_fmmag5100w_fi01_en.pdf" TargetMode="External"/><Relationship Id="rId19" Type="http://schemas.openxmlformats.org/officeDocument/2006/relationships/hyperlink" Target="https://produal-pim.rockon.io/rockon/api/v1/int/extmedia/openFile/01TGWJBKHNSE2YZMOW5VCIRFBAVXEK2CLQ" TargetMode="External"/><Relationship Id="rId1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2" Type="http://schemas.openxmlformats.org/officeDocument/2006/relationships/hyperlink" Target="https://produal-pim.rockon.io/rockon/api/v1/int/extmedia/openFile/01TGWJBKHNSE2YZMOW5VCIRFBAVXEK2CLQ" TargetMode="External"/><Relationship Id="rId27" Type="http://schemas.openxmlformats.org/officeDocument/2006/relationships/hyperlink" Target="https://produal-pim.rockon.io/rockon/api/v1/int/extmedia/openFile/01TGWJBKHNSE2YZMOW5VCIRFBAVXEK2CLQ" TargetMode="External"/><Relationship Id="rId30" Type="http://schemas.openxmlformats.org/officeDocument/2006/relationships/hyperlink" Target="https://www.gfps.com/content/dam/gfps/com/datasheets/pim/3/3/8/1/0/6/3/p6G1O23AD.pdf?filename=gfps-datasheet-Lug-Style%20end%20installation%20butterfly%20valve%20type%20146%20PVC-U-199146047" TargetMode="External"/><Relationship Id="rId35"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3" Type="http://schemas.openxmlformats.org/officeDocument/2006/relationships/hyperlink" Target="https://cache.industry.siemens.com/dl/files/956/109764956/att_1265187/v1/sitransf_fmmag5100w_fi01_en.pdf" TargetMode="External"/><Relationship Id="rId4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6"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64" Type="http://schemas.openxmlformats.org/officeDocument/2006/relationships/hyperlink" Target="https://www.gavazzi.no/wp-content/uploads/VVA2Technicalbrochure-da_DK.pdf" TargetMode="External"/><Relationship Id="rId69" Type="http://schemas.openxmlformats.org/officeDocument/2006/relationships/ctrlProp" Target="../ctrlProps/ctrlProp1.xml"/><Relationship Id="rId8" Type="http://schemas.openxmlformats.org/officeDocument/2006/relationships/hyperlink" Target="https://produal-pim.rockon.io/rockon/api/v1/int/extmedia/openFile/01TGWJBKBS7AMIDS7ILZHLV32I2LYUKFEW" TargetMode="External"/><Relationship Id="rId51" Type="http://schemas.openxmlformats.org/officeDocument/2006/relationships/hyperlink" Target="https://produal-pim.rockon.io/rockon/api/v1/int/extmedia/openFile/01TGWJBKHNSE2YZMOW5VCIRFBAVXEK2CLQ" TargetMode="External"/><Relationship Id="rId72" Type="http://schemas.openxmlformats.org/officeDocument/2006/relationships/ctrlProp" Target="../ctrlProps/ctrlProp4.xml"/><Relationship Id="rId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2" Type="http://schemas.openxmlformats.org/officeDocument/2006/relationships/hyperlink" Target="https://www.gavazzi.no/wp-content/uploads/VVA2Technicalbrochure-da_DK.pdf" TargetMode="External"/><Relationship Id="rId1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5" Type="http://schemas.openxmlformats.org/officeDocument/2006/relationships/hyperlink" Target="https://produal-pim.rockon.io/rockon/api/v1/int/extmedia/openFile/01TGWJBKHNSE2YZMOW5VCIRFBAVXEK2CLQ" TargetMode="External"/><Relationship Id="rId33" Type="http://schemas.openxmlformats.org/officeDocument/2006/relationships/hyperlink" Target="https://www.gavazzi.no/wp-content/uploads/VVK2Technicalbrochure-da_DK.pdf" TargetMode="External"/><Relationship Id="rId38" Type="http://schemas.openxmlformats.org/officeDocument/2006/relationships/hyperlink" Target="https://www.gfps.com/content/dam/gfps/com/datasheets/pim/3/3/8/1/0/6/3/p6G1O23AD.pdf?filename=gfps-datasheet-Lug-Style%20end%20installation%20butterfly%20valve%20type%20146%20PVC-U-199146045" TargetMode="External"/><Relationship Id="rId4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9" Type="http://schemas.openxmlformats.org/officeDocument/2006/relationships/hyperlink" Target="https://produal-pim.rockon.io/rockon/api/v1/int/extmedia/openFile/01TGWJBKHNSE2YZMOW5VCIRFBAVXEK2CLQ" TargetMode="External"/><Relationship Id="rId67" Type="http://schemas.openxmlformats.org/officeDocument/2006/relationships/drawing" Target="../drawings/drawing1.xml"/><Relationship Id="rId20" Type="http://schemas.openxmlformats.org/officeDocument/2006/relationships/hyperlink" Target="https://produal-pim.rockon.io/rockon/api/v1/int/extmedia/openFile/01TGWJBKHNSE2YZMOW5VCIRFBAVXEK2CLQ" TargetMode="External"/><Relationship Id="rId41" Type="http://schemas.openxmlformats.org/officeDocument/2006/relationships/hyperlink" Target="https://produal-pim.rockon.io/rockon/api/v1/int/extmedia/openFile/01TGWJBKBS7AMIDS7ILZHLV32I2LYUKFEW" TargetMode="External"/><Relationship Id="rId54" Type="http://schemas.openxmlformats.org/officeDocument/2006/relationships/hyperlink" Target="https://produal-pim.rockon.io/rockon/api/v1/int/extmedia/openFile/01TGWJBKHNSE2YZMOW5VCIRFBAVXEK2CLQ" TargetMode="External"/><Relationship Id="rId62" Type="http://schemas.openxmlformats.org/officeDocument/2006/relationships/hyperlink" Target="https://www.gfps.com/content/dam/gfps/com/datasheets/pim/3/3/8/1/0/6/3/p6G1O23AD.pdf?filename=gfps-datasheet-Lug-Style%20end%20installation%20butterfly%20valve%20type%20146%20PVC-U-199146047" TargetMode="External"/><Relationship Id="rId70"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hyperlink" Target="https://www.gfps.com/content/dam/gfps/com/datasheets/pim/3/3/8/1/0/6/3/p6G1O23AD.pdf?filename=gfps-datasheet-Lug-Style%20end%20installation%20butterfly%20valve%20type%20146%20PVC-U-199146045" TargetMode="External"/><Relationship Id="rId1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3" Type="http://schemas.openxmlformats.org/officeDocument/2006/relationships/hyperlink" Target="https://produal-pim.rockon.io/rockon/api/v1/int/extmedia/openFile/01TGWJBKHNSE2YZMOW5VCIRFBAVXEK2CLQ" TargetMode="External"/><Relationship Id="rId28" Type="http://schemas.openxmlformats.org/officeDocument/2006/relationships/hyperlink" Target="https://produal-pim.rockon.io/rockon/api/v1/int/extmedia/openFile/01TGWJBKBS7AMIDS7ILZHLV32I2LYUKFEW" TargetMode="External"/><Relationship Id="rId36" Type="http://schemas.openxmlformats.org/officeDocument/2006/relationships/hyperlink" Target="https://www.gfps.com/content/dam/gfps/com/datasheets/pim/3/3/8/1/0/6/3/p6G1O23AD.pdf?filename=gfps-datasheet-Lug-Style%20end%20installation%20butterfly%20valve%20type%20146%20PVC-U-199146046" TargetMode="External"/><Relationship Id="rId49"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7" Type="http://schemas.openxmlformats.org/officeDocument/2006/relationships/hyperlink" Target="https://produal-pim.rockon.io/rockon/api/v1/int/extmedia/openFile/01TGWJBKHNSE2YZMOW5VCIRFBAVXEK2CLQ" TargetMode="External"/><Relationship Id="rId1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31" Type="http://schemas.openxmlformats.org/officeDocument/2006/relationships/hyperlink" Target="https://www.gfps.com/content/dam/gfps/com/datasheets/pim/3/3/8/1/0/6/3/p6G1O23AD.pdf?filename=gfps-datasheet-Lug-Style%20end%20installation%20butterfly%20valve%20type%20146%20PVC-U-199146045" TargetMode="External"/><Relationship Id="rId44" Type="http://schemas.openxmlformats.org/officeDocument/2006/relationships/hyperlink" Target="https://www.gavazzi.no/wp-content/uploads/VVA2Technicalbrochure-da_DK.pdf" TargetMode="External"/><Relationship Id="rId52" Type="http://schemas.openxmlformats.org/officeDocument/2006/relationships/hyperlink" Target="https://produal-pim.rockon.io/rockon/api/v1/int/extmedia/openFile/01TGWJBKHNSE2YZMOW5VCIRFBAVXEK2CLQ" TargetMode="External"/><Relationship Id="rId60" Type="http://schemas.openxmlformats.org/officeDocument/2006/relationships/hyperlink" Target="https://produal-pim.rockon.io/rockon/api/v1/int/extmedia/openFile/01TGWJBKBS7AMIDS7ILZHLV32I2LYUKFEW" TargetMode="External"/><Relationship Id="rId65" Type="http://schemas.openxmlformats.org/officeDocument/2006/relationships/hyperlink" Target="https://www.gavazzi.no/wp-content/uploads/VVK2Technicalbrochure-da_DK.pdf" TargetMode="External"/><Relationship Id="rId73" Type="http://schemas.openxmlformats.org/officeDocument/2006/relationships/ctrlProp" Target="../ctrlProps/ctrlProp5.xml"/><Relationship Id="rId4" Type="http://schemas.openxmlformats.org/officeDocument/2006/relationships/hyperlink" Target="https://www.gfps.com/content/dam/gfps/com/datasheets/pim/3/3/8/1/0/6/3/p6G1O23AD.pdf?filename=gfps-datasheet-Lug-Style%20end%20installation%20butterfly%20valve%20type%20146%20PVC-U-199146046" TargetMode="External"/><Relationship Id="rId9" Type="http://schemas.openxmlformats.org/officeDocument/2006/relationships/hyperlink" Target="https://produal-pim.rockon.io/rockon/api/v1/int/extmedia/openFile/01TGWJBKBS7AMIDS7ILZHLV32I2LYUKFEW" TargetMode="External"/><Relationship Id="rId13" Type="http://schemas.openxmlformats.org/officeDocument/2006/relationships/hyperlink" Target="https://www.gavazzi.no/wp-content/uploads/VVK2Technicalbrochure-da_DK.pdf" TargetMode="External"/><Relationship Id="rId1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39" Type="http://schemas.openxmlformats.org/officeDocument/2006/relationships/hyperlink" Target="https://produal-pim.rockon.io/rockon/api/v1/int/extmedia/openFile/01TGWJBKHNSE2YZMOW5VCIRFBAVXEK2CLQ" TargetMode="External"/><Relationship Id="rId3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5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5" Type="http://schemas.openxmlformats.org/officeDocument/2006/relationships/hyperlink" Target="https://produal-pim.rockon.io/rockon/api/v1/int/extmedia/openFile/01TGWJBKHNSE2YZMOW5VCIRFBAVXEK2CLQ" TargetMode="External"/><Relationship Id="rId7" Type="http://schemas.openxmlformats.org/officeDocument/2006/relationships/hyperlink" Target="https://produal-pim.rockon.io/rockon/api/v1/int/extmedia/openFile/01TGWJBKHNSE2YZMOW5VCIRFBAVXEK2CLQ" TargetMode="External"/><Relationship Id="rId71"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56"/>
  <sheetViews>
    <sheetView showGridLines="0" tabSelected="1" zoomScaleNormal="100" zoomScaleSheetLayoutView="75" workbookViewId="0">
      <pane xSplit="12" ySplit="10" topLeftCell="M11" activePane="bottomRight" state="frozen"/>
      <selection pane="topRight" activeCell="M1" sqref="M1"/>
      <selection pane="bottomLeft" activeCell="A10" sqref="A10"/>
      <selection pane="bottomRight" activeCell="L19" sqref="L19"/>
    </sheetView>
  </sheetViews>
  <sheetFormatPr defaultColWidth="15.7109375" defaultRowHeight="20.100000000000001" customHeight="1" outlineLevelCol="1" x14ac:dyDescent="0.2"/>
  <cols>
    <col min="1" max="1" width="5.85546875" style="17" customWidth="1"/>
    <col min="2" max="2" width="1.85546875" style="17" customWidth="1"/>
    <col min="3" max="3" width="7.140625" style="17" customWidth="1"/>
    <col min="4" max="4" width="1.7109375" style="17" customWidth="1"/>
    <col min="5" max="5" width="4.7109375" style="17" customWidth="1"/>
    <col min="6" max="6" width="0.7109375" style="17" customWidth="1"/>
    <col min="7" max="7" width="5.5703125" style="17" customWidth="1"/>
    <col min="8" max="8" width="1.7109375" style="17" customWidth="1"/>
    <col min="9" max="9" width="31.5703125" style="17" bestFit="1" customWidth="1"/>
    <col min="10" max="10" width="7.5703125" style="17" bestFit="1" customWidth="1"/>
    <col min="11" max="11" width="30.5703125" style="17" bestFit="1" customWidth="1"/>
    <col min="12" max="12" width="39.140625" style="17" bestFit="1" customWidth="1"/>
    <col min="13" max="13" width="24.85546875" style="17" bestFit="1" customWidth="1"/>
    <col min="14" max="14" width="10.5703125" style="17" customWidth="1"/>
    <col min="15" max="15" width="10.7109375" style="17" customWidth="1"/>
    <col min="16" max="16" width="8.85546875" style="17" customWidth="1"/>
    <col min="17" max="17" width="7.42578125" style="17" customWidth="1"/>
    <col min="18" max="18" width="6.42578125" style="17" customWidth="1"/>
    <col min="19" max="19" width="6.28515625" style="17" customWidth="1"/>
    <col min="20" max="20" width="5.85546875" style="17" customWidth="1"/>
    <col min="21" max="21" width="7" style="17" customWidth="1"/>
    <col min="22" max="23" width="3.28515625" style="17" customWidth="1"/>
    <col min="24" max="24" width="3.42578125" style="17" customWidth="1"/>
    <col min="25" max="25" width="4.7109375" style="17" customWidth="1"/>
    <col min="26" max="26" width="3.28515625" style="17" customWidth="1"/>
    <col min="27" max="27" width="5.42578125" style="17" customWidth="1"/>
    <col min="28" max="29" width="11.5703125" style="17" customWidth="1"/>
    <col min="30" max="31" width="10" style="17" customWidth="1"/>
    <col min="32" max="32" width="11.5703125" style="17" customWidth="1"/>
    <col min="33" max="33" width="5" style="17" customWidth="1"/>
    <col min="34" max="34" width="5.85546875" style="17" customWidth="1"/>
    <col min="35" max="35" width="6" style="17" customWidth="1"/>
    <col min="36" max="36" width="5.85546875" style="17" customWidth="1"/>
    <col min="37" max="39" width="11.5703125" style="17" customWidth="1"/>
    <col min="40" max="40" width="21.7109375" style="17" customWidth="1"/>
    <col min="41" max="41" width="27.42578125" style="17" customWidth="1"/>
    <col min="42" max="42" width="14" style="17" customWidth="1"/>
    <col min="43" max="43" width="16" style="17" customWidth="1"/>
    <col min="44" max="44" width="17.85546875" style="17" customWidth="1"/>
    <col min="45" max="45" width="7.7109375" style="17" customWidth="1"/>
    <col min="46" max="46" width="3.140625" style="17" customWidth="1"/>
    <col min="47" max="47" width="8.140625" style="17" customWidth="1"/>
    <col min="48" max="48" width="9.85546875" style="17" customWidth="1"/>
    <col min="49" max="49" width="12" style="17" customWidth="1"/>
    <col min="50" max="50" width="4.140625" style="17" customWidth="1"/>
    <col min="51" max="51" width="3.140625" style="17" customWidth="1"/>
    <col min="52" max="52" width="3.85546875" style="17" customWidth="1"/>
    <col min="53" max="53" width="5.5703125" style="17" customWidth="1"/>
    <col min="54" max="54" width="3.140625" style="17" customWidth="1"/>
    <col min="55" max="55" width="16.140625" style="17" customWidth="1"/>
    <col min="56" max="56" width="4.5703125" style="17" customWidth="1"/>
    <col min="57" max="57" width="4.7109375" style="17" customWidth="1"/>
    <col min="58" max="59" width="4.5703125" style="17" customWidth="1"/>
    <col min="60" max="60" width="8.7109375" style="17" customWidth="1"/>
    <col min="61" max="63" width="3.7109375" style="17" hidden="1" customWidth="1" outlineLevel="1"/>
    <col min="64" max="64" width="4.5703125" style="17" customWidth="1" collapsed="1"/>
    <col min="65" max="69" width="4.5703125" style="17" customWidth="1"/>
    <col min="70" max="71" width="5.7109375" style="17" customWidth="1"/>
    <col min="72" max="72" width="6" style="17" customWidth="1"/>
    <col min="73" max="73" width="30" style="17" customWidth="1"/>
    <col min="74" max="74" width="5.42578125" style="17" hidden="1" customWidth="1" outlineLevel="1"/>
    <col min="75" max="75" width="10" style="17" hidden="1" customWidth="1" outlineLevel="1"/>
    <col min="76" max="80" width="11.42578125" style="17" hidden="1" customWidth="1" outlineLevel="1"/>
    <col min="81" max="81" width="24.42578125" style="17" hidden="1" customWidth="1" outlineLevel="1"/>
    <col min="82" max="82" width="4.42578125" style="17" customWidth="1" collapsed="1"/>
    <col min="83" max="84" width="4.42578125" style="17" customWidth="1"/>
    <col min="85" max="85" width="9" style="17" customWidth="1"/>
    <col min="86" max="86" width="5.85546875" style="17" customWidth="1"/>
    <col min="87" max="87" width="4.42578125" style="17" customWidth="1"/>
    <col min="88" max="88" width="4.28515625" style="17" customWidth="1"/>
    <col min="89" max="89" width="4.5703125" style="17" customWidth="1"/>
    <col min="90" max="95" width="4.140625" style="17" customWidth="1"/>
    <col min="96" max="96" width="3.85546875" style="17" customWidth="1"/>
    <col min="97" max="97" width="6.28515625" style="17" customWidth="1"/>
    <col min="98" max="99" width="11.7109375" style="17" customWidth="1"/>
    <col min="100" max="102" width="9.140625" style="17" customWidth="1"/>
    <col min="103" max="103" width="6.7109375" style="17" customWidth="1"/>
    <col min="104" max="105" width="11.7109375" style="17" customWidth="1"/>
    <col min="106" max="106" width="19.28515625" style="17" customWidth="1"/>
    <col min="107" max="108" width="11.28515625" style="17" customWidth="1"/>
    <col min="109" max="109" width="10.140625" style="17" customWidth="1"/>
    <col min="110" max="110" width="6.85546875" style="17" customWidth="1"/>
    <col min="111" max="113" width="11.7109375" style="17" customWidth="1"/>
    <col min="114" max="114" width="17.7109375" style="17" customWidth="1"/>
    <col min="115" max="115" width="7.28515625" style="17" customWidth="1"/>
    <col min="116" max="119" width="7.42578125" style="17" customWidth="1"/>
    <col min="120" max="120" width="14.7109375" style="17" customWidth="1"/>
    <col min="121" max="121" width="35.28515625" style="17" customWidth="1"/>
    <col min="122" max="123" width="11.7109375" style="17" customWidth="1"/>
    <col min="124" max="124" width="5.42578125" style="17" customWidth="1"/>
    <col min="125" max="133" width="11.7109375" style="17" customWidth="1"/>
    <col min="134" max="134" width="30.7109375" style="17" customWidth="1"/>
    <col min="135" max="136" width="11.7109375" style="17" customWidth="1"/>
    <col min="137" max="137" width="5.7109375" style="17" customWidth="1"/>
    <col min="138" max="139" width="11.7109375" style="17" customWidth="1"/>
    <col min="140" max="140" width="6.28515625" style="17" customWidth="1"/>
    <col min="141" max="142" width="11.7109375" style="17" customWidth="1"/>
    <col min="143" max="143" width="28.5703125" style="17" customWidth="1"/>
    <col min="144" max="144" width="9.140625" style="17" customWidth="1"/>
    <col min="145" max="145" width="13.140625" style="17" customWidth="1"/>
    <col min="146" max="146" width="19.42578125" style="17" customWidth="1"/>
    <col min="147" max="147" width="17.28515625" style="17" customWidth="1"/>
    <col min="148" max="148" width="12.140625" style="17" customWidth="1"/>
    <col min="149" max="149" width="9.42578125" style="17" customWidth="1"/>
    <col min="150" max="150" width="6" style="17" hidden="1" customWidth="1"/>
    <col min="151" max="152" width="10.140625" style="17" hidden="1" customWidth="1"/>
    <col min="153" max="153" width="10" style="17" hidden="1" customWidth="1"/>
    <col min="154" max="154" width="12" style="17" hidden="1" customWidth="1"/>
    <col min="155" max="155" width="15.7109375" style="17" customWidth="1"/>
    <col min="156" max="160" width="15.7109375" style="17" hidden="1" customWidth="1"/>
    <col min="161" max="16384" width="15.7109375" style="17"/>
  </cols>
  <sheetData>
    <row r="1" spans="1:154" s="235" customFormat="1" ht="51.75" customHeight="1" thickBot="1" x14ac:dyDescent="0.4">
      <c r="A1" s="233" t="s">
        <v>442</v>
      </c>
      <c r="B1" s="459" t="s">
        <v>406</v>
      </c>
      <c r="C1" s="234"/>
      <c r="E1" s="251" t="s">
        <v>444</v>
      </c>
      <c r="F1" s="236"/>
      <c r="G1" s="237"/>
      <c r="H1" s="238"/>
      <c r="I1" s="252" t="s">
        <v>443</v>
      </c>
      <c r="J1" s="246"/>
      <c r="K1" s="239"/>
      <c r="L1" s="252"/>
      <c r="M1" s="252"/>
      <c r="N1" s="240"/>
      <c r="O1" s="241"/>
      <c r="Q1" s="519"/>
      <c r="R1" s="519"/>
      <c r="Y1" s="239"/>
      <c r="AG1" s="239"/>
      <c r="AH1" s="239"/>
      <c r="AI1" s="239"/>
      <c r="AJ1" s="239"/>
      <c r="AM1" s="467"/>
      <c r="AN1" s="240"/>
      <c r="AP1" s="239"/>
      <c r="AQ1" s="239"/>
      <c r="AR1" s="239"/>
      <c r="AU1" s="240"/>
      <c r="AV1" s="242"/>
      <c r="AW1" s="242"/>
      <c r="AY1" s="239"/>
      <c r="BC1" s="245"/>
      <c r="BD1" s="239"/>
      <c r="BE1" s="239"/>
      <c r="BF1" s="239"/>
      <c r="BG1" s="239"/>
      <c r="BH1" s="239"/>
      <c r="BI1" s="239"/>
      <c r="BJ1" s="438"/>
      <c r="BK1" s="438"/>
      <c r="BL1" s="239"/>
      <c r="BM1" s="239"/>
      <c r="BN1" s="239"/>
      <c r="BO1" s="239"/>
      <c r="BP1" s="239"/>
      <c r="BQ1" s="239"/>
      <c r="BR1" s="239"/>
      <c r="BS1" s="239"/>
      <c r="BT1" s="239"/>
      <c r="BU1" s="240"/>
      <c r="CC1" s="246"/>
      <c r="CU1" s="247"/>
      <c r="DB1" s="247"/>
      <c r="DJ1" s="247"/>
      <c r="DS1" s="248"/>
      <c r="DV1" s="247"/>
      <c r="EI1" s="247"/>
      <c r="EL1" s="247"/>
      <c r="EM1" s="247"/>
      <c r="EQ1" s="239"/>
      <c r="ER1" s="239"/>
      <c r="ES1" s="239"/>
      <c r="EV1" s="249"/>
      <c r="EW1" s="249"/>
      <c r="EX1" s="250"/>
    </row>
    <row r="2" spans="1:154" s="18" customFormat="1" ht="51.75" customHeight="1" thickBot="1" x14ac:dyDescent="0.25">
      <c r="A2" s="68"/>
      <c r="B2" s="69" t="s">
        <v>397</v>
      </c>
      <c r="C2" s="70"/>
      <c r="D2" s="71"/>
      <c r="E2" s="72"/>
      <c r="F2" s="73"/>
      <c r="G2" s="74"/>
      <c r="H2" s="74"/>
      <c r="I2" s="75"/>
      <c r="J2" s="473"/>
      <c r="K2" s="243"/>
      <c r="L2" s="76"/>
      <c r="M2" s="77"/>
      <c r="N2" s="513"/>
      <c r="O2" s="78"/>
      <c r="P2" s="416" t="s">
        <v>372</v>
      </c>
      <c r="Q2" s="532"/>
      <c r="R2" s="532"/>
      <c r="S2" s="417"/>
      <c r="T2" s="417"/>
      <c r="U2" s="417"/>
      <c r="V2" s="417"/>
      <c r="W2" s="417"/>
      <c r="X2" s="417"/>
      <c r="Y2" s="417"/>
      <c r="Z2" s="417"/>
      <c r="AA2" s="418"/>
      <c r="AB2" s="67"/>
      <c r="AC2" s="67"/>
      <c r="AD2" s="79"/>
      <c r="AE2" s="79"/>
      <c r="AF2" s="79"/>
      <c r="AG2" s="80"/>
      <c r="AH2" s="80"/>
      <c r="AI2" s="80"/>
      <c r="AJ2" s="80"/>
      <c r="AK2" s="79"/>
      <c r="AL2" s="79"/>
      <c r="AM2" s="468"/>
      <c r="AN2" s="79"/>
      <c r="AO2" s="67" t="s">
        <v>285</v>
      </c>
      <c r="AP2" s="80"/>
      <c r="AQ2" s="81"/>
      <c r="AR2" s="81"/>
      <c r="AS2" s="82"/>
      <c r="AT2" s="300"/>
      <c r="AU2" s="83"/>
      <c r="AV2" s="84" t="s">
        <v>0</v>
      </c>
      <c r="AW2" s="84"/>
      <c r="AX2" s="85"/>
      <c r="AY2" s="86"/>
      <c r="AZ2" s="85"/>
      <c r="BA2" s="85"/>
      <c r="BB2" s="85"/>
      <c r="BC2" s="299"/>
      <c r="BD2" s="301"/>
      <c r="BE2" s="87"/>
      <c r="BF2" s="87"/>
      <c r="BG2" s="87"/>
      <c r="BH2" s="88"/>
      <c r="BI2" s="455"/>
      <c r="BJ2" s="455"/>
      <c r="BK2" s="455"/>
      <c r="BL2" s="88"/>
      <c r="BM2" s="87"/>
      <c r="BN2" s="87"/>
      <c r="BO2" s="87"/>
      <c r="BP2" s="87"/>
      <c r="BQ2" s="88" t="s">
        <v>226</v>
      </c>
      <c r="BR2" s="87"/>
      <c r="BS2" s="87"/>
      <c r="BT2" s="87"/>
      <c r="BU2" s="89"/>
      <c r="BV2" s="456"/>
      <c r="BW2" s="456"/>
      <c r="BX2" s="456"/>
      <c r="BY2" s="457"/>
      <c r="BZ2" s="457"/>
      <c r="CA2" s="456"/>
      <c r="CB2" s="456"/>
      <c r="CC2" s="458"/>
      <c r="CD2" s="419"/>
      <c r="CE2" s="419"/>
      <c r="CF2" s="419"/>
      <c r="CG2" s="419"/>
      <c r="CH2" s="420"/>
      <c r="CI2" s="420"/>
      <c r="CJ2" s="421"/>
      <c r="CK2" s="421"/>
      <c r="CL2" s="421"/>
      <c r="CM2" s="421"/>
      <c r="CN2" s="421"/>
      <c r="CO2" s="421"/>
      <c r="CP2" s="421"/>
      <c r="CQ2" s="421"/>
      <c r="CR2" s="422"/>
      <c r="CS2" s="423"/>
      <c r="CT2" s="424"/>
      <c r="CU2" s="425"/>
      <c r="CV2" s="426"/>
      <c r="CW2" s="426"/>
      <c r="CX2" s="426"/>
      <c r="CY2" s="426"/>
      <c r="CZ2" s="426"/>
      <c r="DA2" s="426"/>
      <c r="DB2" s="425"/>
      <c r="DC2" s="427"/>
      <c r="DD2" s="427"/>
      <c r="DE2" s="426"/>
      <c r="DF2" s="428"/>
      <c r="DG2" s="426"/>
      <c r="DH2" s="428" t="s">
        <v>284</v>
      </c>
      <c r="DI2" s="428"/>
      <c r="DJ2" s="425"/>
      <c r="DK2" s="429"/>
      <c r="DL2" s="430"/>
      <c r="DM2" s="430"/>
      <c r="DN2" s="430"/>
      <c r="DO2" s="430"/>
      <c r="DP2" s="429"/>
      <c r="DQ2" s="429"/>
      <c r="DR2" s="430"/>
      <c r="DS2" s="431"/>
      <c r="DT2" s="426"/>
      <c r="DU2" s="426"/>
      <c r="DV2" s="425"/>
      <c r="DW2" s="430"/>
      <c r="DX2" s="430"/>
      <c r="DY2" s="429"/>
      <c r="DZ2" s="432"/>
      <c r="EA2" s="430"/>
      <c r="EB2" s="430"/>
      <c r="EC2" s="430"/>
      <c r="ED2" s="429"/>
      <c r="EE2" s="430"/>
      <c r="EF2" s="430"/>
      <c r="EG2" s="426"/>
      <c r="EH2" s="426"/>
      <c r="EI2" s="425"/>
      <c r="EJ2" s="426"/>
      <c r="EK2" s="426"/>
      <c r="EL2" s="433"/>
      <c r="EM2" s="433"/>
      <c r="EN2" s="434"/>
      <c r="EO2" s="435" t="s">
        <v>355</v>
      </c>
      <c r="EP2" s="435"/>
      <c r="EQ2" s="436"/>
      <c r="ER2" s="436"/>
      <c r="ES2" s="437"/>
      <c r="ET2" s="90"/>
      <c r="EU2" s="90" t="s">
        <v>223</v>
      </c>
      <c r="EV2" s="91"/>
      <c r="EW2" s="92"/>
      <c r="EX2" s="93"/>
    </row>
    <row r="3" spans="1:154" ht="15.75" x14ac:dyDescent="0.25">
      <c r="A3" s="94"/>
      <c r="B3" s="95"/>
      <c r="C3" s="96"/>
      <c r="D3" s="97"/>
      <c r="E3" s="98"/>
      <c r="F3" s="99"/>
      <c r="G3" s="100"/>
      <c r="H3" s="100"/>
      <c r="I3" s="101"/>
      <c r="J3" s="474"/>
      <c r="K3" s="244"/>
      <c r="L3" s="102"/>
      <c r="M3" s="129"/>
      <c r="N3" s="514"/>
      <c r="O3" s="103"/>
      <c r="P3" s="260"/>
      <c r="Q3" s="520"/>
      <c r="R3" s="520"/>
      <c r="S3" s="260"/>
      <c r="T3" s="260"/>
      <c r="U3" s="260"/>
      <c r="V3" s="260"/>
      <c r="W3" s="260"/>
      <c r="X3" s="260"/>
      <c r="Y3" s="261"/>
      <c r="Z3" s="260"/>
      <c r="AA3" s="262"/>
      <c r="AB3" s="104"/>
      <c r="AC3" s="260"/>
      <c r="AD3" s="260"/>
      <c r="AE3" s="260"/>
      <c r="AF3" s="260"/>
      <c r="AG3" s="104"/>
      <c r="AH3" s="104"/>
      <c r="AI3" s="260"/>
      <c r="AJ3" s="105"/>
      <c r="AK3" s="260"/>
      <c r="AL3" s="260"/>
      <c r="AM3" s="469"/>
      <c r="AN3" s="107"/>
      <c r="AO3" s="104"/>
      <c r="AP3" s="261"/>
      <c r="AQ3" s="105"/>
      <c r="AR3" s="105"/>
      <c r="AS3" s="106"/>
      <c r="AT3" s="284"/>
      <c r="AU3" s="108"/>
      <c r="AV3" s="109"/>
      <c r="AW3" s="109"/>
      <c r="AX3" s="260"/>
      <c r="AY3" s="105"/>
      <c r="AZ3" s="260"/>
      <c r="BA3" s="260"/>
      <c r="BB3" s="104"/>
      <c r="BC3" s="288"/>
      <c r="BD3" s="289"/>
      <c r="BE3" s="289" t="s">
        <v>237</v>
      </c>
      <c r="BF3" s="290"/>
      <c r="BG3" s="110"/>
      <c r="BH3" s="111"/>
      <c r="BI3" s="289"/>
      <c r="BJ3" s="439"/>
      <c r="BK3" s="439"/>
      <c r="BL3" s="112" t="s">
        <v>1</v>
      </c>
      <c r="BM3" s="113"/>
      <c r="BN3" s="113"/>
      <c r="BO3" s="114"/>
      <c r="BP3" s="113" t="s">
        <v>2</v>
      </c>
      <c r="BQ3" s="106"/>
      <c r="BR3" s="298" t="s">
        <v>423</v>
      </c>
      <c r="BS3" s="298"/>
      <c r="BT3" s="298"/>
      <c r="BU3" s="115" t="s">
        <v>258</v>
      </c>
      <c r="BV3" s="451"/>
      <c r="BW3" s="392"/>
      <c r="BX3" s="235"/>
      <c r="BY3" s="235"/>
      <c r="BZ3" s="392" t="s">
        <v>225</v>
      </c>
      <c r="CA3" s="392"/>
      <c r="CB3" s="392"/>
      <c r="CC3" s="452"/>
      <c r="CD3" s="302" t="s">
        <v>294</v>
      </c>
      <c r="CE3" s="302"/>
      <c r="CF3" s="302"/>
      <c r="CG3" s="303"/>
      <c r="CH3" s="304" t="s">
        <v>333</v>
      </c>
      <c r="CI3" s="298"/>
      <c r="CJ3" s="298"/>
      <c r="CK3" s="298"/>
      <c r="CL3" s="298"/>
      <c r="CM3" s="298"/>
      <c r="CN3" s="298"/>
      <c r="CO3" s="298"/>
      <c r="CP3" s="298"/>
      <c r="CQ3" s="298"/>
      <c r="CR3" s="305"/>
      <c r="CS3" s="306">
        <v>0</v>
      </c>
      <c r="CT3" s="307" t="s">
        <v>426</v>
      </c>
      <c r="CU3" s="308" t="s">
        <v>8</v>
      </c>
      <c r="CV3" s="246" t="s">
        <v>9</v>
      </c>
      <c r="CW3" s="309"/>
      <c r="CX3" s="307"/>
      <c r="CY3" s="307" t="s">
        <v>5</v>
      </c>
      <c r="CZ3" s="309"/>
      <c r="DA3" s="309"/>
      <c r="DB3" s="308" t="s">
        <v>10</v>
      </c>
      <c r="DC3" s="306" t="s">
        <v>11</v>
      </c>
      <c r="DD3" s="309"/>
      <c r="DE3" s="309"/>
      <c r="DF3" s="307" t="s">
        <v>6</v>
      </c>
      <c r="DG3" s="309"/>
      <c r="DH3" s="309"/>
      <c r="DI3" s="309"/>
      <c r="DJ3" s="345" t="s">
        <v>12</v>
      </c>
      <c r="DK3" s="239" t="s">
        <v>13</v>
      </c>
      <c r="DL3" s="309"/>
      <c r="DM3" s="309"/>
      <c r="DN3" s="309"/>
      <c r="DO3" s="309"/>
      <c r="DP3" s="253"/>
      <c r="DQ3" s="307" t="s">
        <v>7</v>
      </c>
      <c r="DR3" s="346"/>
      <c r="DS3" s="347"/>
      <c r="DT3" s="235"/>
      <c r="DU3" s="235"/>
      <c r="DV3" s="348" t="s">
        <v>14</v>
      </c>
      <c r="DW3" s="376" t="s">
        <v>15</v>
      </c>
      <c r="DX3" s="346"/>
      <c r="DY3" s="377"/>
      <c r="DZ3" s="346"/>
      <c r="EA3" s="346"/>
      <c r="EB3" s="346"/>
      <c r="EC3" s="378"/>
      <c r="ED3" s="379" t="s">
        <v>391</v>
      </c>
      <c r="EE3" s="346"/>
      <c r="EF3" s="346"/>
      <c r="EG3" s="235"/>
      <c r="EH3" s="235"/>
      <c r="EI3" s="316" t="s">
        <v>16</v>
      </c>
      <c r="EJ3" s="380">
        <v>1</v>
      </c>
      <c r="EK3" s="307" t="s">
        <v>434</v>
      </c>
      <c r="EL3" s="316" t="s">
        <v>17</v>
      </c>
      <c r="EM3" s="381"/>
      <c r="EN3" s="402" t="s">
        <v>427</v>
      </c>
      <c r="EO3" s="235"/>
      <c r="EP3" s="309"/>
      <c r="EQ3" s="239"/>
      <c r="ER3" s="239"/>
      <c r="ES3" s="394"/>
      <c r="ET3" s="118" t="s">
        <v>326</v>
      </c>
      <c r="EU3" s="119"/>
      <c r="EV3" s="120">
        <f>$BH$8</f>
        <v>13</v>
      </c>
      <c r="EW3" s="121"/>
      <c r="EX3" s="122"/>
    </row>
    <row r="4" spans="1:154" ht="13.5" customHeight="1" thickBot="1" x14ac:dyDescent="0.3">
      <c r="A4" s="94"/>
      <c r="B4" s="462"/>
      <c r="C4" s="463"/>
      <c r="D4" s="464"/>
      <c r="E4" s="464"/>
      <c r="F4" s="465"/>
      <c r="G4" s="465"/>
      <c r="H4" s="465"/>
      <c r="I4" s="464"/>
      <c r="J4" s="466"/>
      <c r="K4" s="253" t="s">
        <v>222</v>
      </c>
      <c r="L4" s="128"/>
      <c r="M4" s="129">
        <v>4</v>
      </c>
      <c r="N4" s="515"/>
      <c r="O4" s="130"/>
      <c r="P4" s="263"/>
      <c r="Q4" s="521"/>
      <c r="R4" s="522"/>
      <c r="S4" s="264"/>
      <c r="T4" s="264"/>
      <c r="U4" s="264"/>
      <c r="V4" s="265"/>
      <c r="W4" s="265"/>
      <c r="X4" s="265"/>
      <c r="Y4" s="257"/>
      <c r="Z4" s="265"/>
      <c r="AA4" s="266"/>
      <c r="AB4" s="131"/>
      <c r="AC4" s="264"/>
      <c r="AD4" s="264"/>
      <c r="AE4" s="264"/>
      <c r="AF4" s="264"/>
      <c r="AG4" s="36"/>
      <c r="AH4" s="36"/>
      <c r="AI4" s="257"/>
      <c r="AJ4" s="36"/>
      <c r="AK4" s="264"/>
      <c r="AL4" s="264"/>
      <c r="AM4" s="470"/>
      <c r="AN4" s="133"/>
      <c r="AO4" s="132"/>
      <c r="AP4" s="282"/>
      <c r="AQ4" s="134"/>
      <c r="AR4" s="134"/>
      <c r="AS4" s="135"/>
      <c r="AT4" s="285"/>
      <c r="AU4" s="133"/>
      <c r="AV4" s="136"/>
      <c r="AW4" s="136"/>
      <c r="AX4" s="264"/>
      <c r="AY4" s="36"/>
      <c r="AZ4" s="264"/>
      <c r="BA4" s="591" t="s">
        <v>220</v>
      </c>
      <c r="BB4" s="132"/>
      <c r="BC4" s="291"/>
      <c r="BD4" s="583" t="s">
        <v>309</v>
      </c>
      <c r="BE4" s="591" t="s">
        <v>257</v>
      </c>
      <c r="BF4" s="588" t="s">
        <v>229</v>
      </c>
      <c r="BG4" s="137"/>
      <c r="BH4" s="138"/>
      <c r="BI4" s="533">
        <f>ROUNDUP((BJ3+2)/4,0)</f>
        <v>1</v>
      </c>
      <c r="BJ4" s="440">
        <f>SUM(BM4:BQ4)</f>
        <v>4</v>
      </c>
      <c r="BK4" s="441"/>
      <c r="BL4" s="141"/>
      <c r="BM4" s="139">
        <f>MAX(ROUNDUP((BL8+BM8+BO8)/12,0),ROUNDUP((BO8)/2,0))</f>
        <v>1</v>
      </c>
      <c r="BN4" s="36">
        <f>ROUNDUP((BN8)/8,0)</f>
        <v>1</v>
      </c>
      <c r="BO4" s="140"/>
      <c r="BP4" s="141">
        <f>ROUNDUP((BP8)/6,0)</f>
        <v>1</v>
      </c>
      <c r="BQ4" s="140">
        <f>ROUNDUP((BQ8)/8,0)</f>
        <v>1</v>
      </c>
      <c r="BR4" s="287"/>
      <c r="BS4" s="257"/>
      <c r="BT4" s="588" t="s">
        <v>327</v>
      </c>
      <c r="BU4" s="142"/>
      <c r="BV4" s="287"/>
      <c r="BW4" s="257"/>
      <c r="BX4" s="257"/>
      <c r="BY4" s="257"/>
      <c r="BZ4" s="257"/>
      <c r="CA4" s="257"/>
      <c r="CB4" s="257"/>
      <c r="CC4" s="453"/>
      <c r="CD4" s="583" t="s">
        <v>297</v>
      </c>
      <c r="CE4" s="591" t="s">
        <v>298</v>
      </c>
      <c r="CF4" s="591" t="s">
        <v>299</v>
      </c>
      <c r="CG4" s="588" t="s">
        <v>300</v>
      </c>
      <c r="CH4" s="285"/>
      <c r="CI4" s="276"/>
      <c r="CJ4" s="298" t="s">
        <v>331</v>
      </c>
      <c r="CK4" s="298"/>
      <c r="CL4" s="298"/>
      <c r="CM4" s="310"/>
      <c r="CN4" s="298" t="s">
        <v>325</v>
      </c>
      <c r="CO4" s="298"/>
      <c r="CP4" s="298"/>
      <c r="CQ4" s="298"/>
      <c r="CR4" s="305"/>
      <c r="CS4" s="311" t="s">
        <v>414</v>
      </c>
      <c r="CT4" s="312"/>
      <c r="CU4" s="313"/>
      <c r="CV4" s="314" t="s">
        <v>416</v>
      </c>
      <c r="CW4" s="312"/>
      <c r="CX4" s="312"/>
      <c r="CY4" s="312"/>
      <c r="CZ4" s="312"/>
      <c r="DA4" s="315"/>
      <c r="DB4" s="316"/>
      <c r="DC4" s="349" t="s">
        <v>415</v>
      </c>
      <c r="DD4" s="350"/>
      <c r="DE4" s="312"/>
      <c r="DF4" s="312"/>
      <c r="DG4" s="312"/>
      <c r="DH4" s="351"/>
      <c r="DI4" s="315"/>
      <c r="DJ4" s="352"/>
      <c r="DK4" s="353" t="s">
        <v>417</v>
      </c>
      <c r="DL4" s="354"/>
      <c r="DM4" s="354"/>
      <c r="DN4" s="354"/>
      <c r="DO4" s="354"/>
      <c r="DP4" s="354"/>
      <c r="DQ4" s="354"/>
      <c r="DR4" s="355"/>
      <c r="DS4" s="356"/>
      <c r="DT4" s="354"/>
      <c r="DU4" s="354"/>
      <c r="DV4" s="357"/>
      <c r="DW4" s="382" t="s">
        <v>418</v>
      </c>
      <c r="DX4" s="355"/>
      <c r="DY4" s="355"/>
      <c r="DZ4" s="383"/>
      <c r="EA4" s="383"/>
      <c r="EB4" s="384"/>
      <c r="EC4" s="383"/>
      <c r="ED4" s="383"/>
      <c r="EE4" s="355"/>
      <c r="EF4" s="355"/>
      <c r="EG4" s="354"/>
      <c r="EH4" s="354"/>
      <c r="EI4" s="357"/>
      <c r="EJ4" s="385" t="s">
        <v>435</v>
      </c>
      <c r="EK4" s="354"/>
      <c r="EL4" s="386"/>
      <c r="EM4" s="387"/>
      <c r="EN4" s="403" t="s">
        <v>392</v>
      </c>
      <c r="EO4" s="235"/>
      <c r="EP4" s="309"/>
      <c r="EQ4" s="239"/>
      <c r="ER4" s="239"/>
      <c r="ES4" s="394"/>
      <c r="ET4" s="17" t="s">
        <v>3</v>
      </c>
      <c r="EV4" s="143">
        <f>SUBTOTAL(9,EV11:EV17)</f>
        <v>0</v>
      </c>
      <c r="EW4" s="144">
        <f>SUBTOTAL(9,EW11:EW17)</f>
        <v>0</v>
      </c>
      <c r="EX4" s="145">
        <f>SUBTOTAL(9,EX11:EX17)</f>
        <v>0</v>
      </c>
    </row>
    <row r="5" spans="1:154" ht="16.5" thickBot="1" x14ac:dyDescent="0.3">
      <c r="A5" s="94"/>
      <c r="B5" s="146" t="s">
        <v>84</v>
      </c>
      <c r="C5" s="147"/>
      <c r="D5" s="148"/>
      <c r="E5" s="149"/>
      <c r="F5" s="149"/>
      <c r="G5" s="150">
        <f ca="1">TODAY()</f>
        <v>45518</v>
      </c>
      <c r="H5" s="150"/>
      <c r="I5" s="150"/>
      <c r="J5" s="475"/>
      <c r="K5" s="254" t="s">
        <v>87</v>
      </c>
      <c r="L5" s="151">
        <f>MAX((DMAX(B10:EL17,CY10,M4:M5)),(DMAX(B10:EL17,DF10,M4:M5)),(DMAX(B10:EL17,DT10,M4:M5)),(DMAX(B10:EL17,EG10,M4:M5)),(DMAX(B10:EL17,EJ10,M4:M5)),(DMAX(B10:EL17,CS10,M4:M5)))</f>
        <v>0</v>
      </c>
      <c r="M5" s="152" t="s">
        <v>349</v>
      </c>
      <c r="N5" s="516"/>
      <c r="O5" s="153"/>
      <c r="P5" s="267"/>
      <c r="Q5" s="523"/>
      <c r="R5" s="524"/>
      <c r="S5" s="268"/>
      <c r="T5" s="268"/>
      <c r="U5" s="268"/>
      <c r="V5" s="269"/>
      <c r="W5" s="269"/>
      <c r="X5" s="269"/>
      <c r="Y5" s="270"/>
      <c r="Z5" s="269"/>
      <c r="AA5" s="271"/>
      <c r="AB5" s="155"/>
      <c r="AC5" s="268"/>
      <c r="AD5" s="268"/>
      <c r="AE5" s="268"/>
      <c r="AF5" s="268"/>
      <c r="AG5" s="154"/>
      <c r="AH5" s="154"/>
      <c r="AI5" s="270"/>
      <c r="AJ5" s="154"/>
      <c r="AK5" s="268"/>
      <c r="AL5" s="268"/>
      <c r="AM5" s="460"/>
      <c r="AN5" s="157"/>
      <c r="AO5" s="156"/>
      <c r="AP5" s="283"/>
      <c r="AQ5" s="158"/>
      <c r="AR5" s="158"/>
      <c r="AS5" s="159"/>
      <c r="AT5" s="272"/>
      <c r="AU5" s="157"/>
      <c r="AV5" s="160"/>
      <c r="AW5" s="160"/>
      <c r="AX5" s="268"/>
      <c r="AY5" s="154"/>
      <c r="AZ5" s="268"/>
      <c r="BA5" s="586"/>
      <c r="BB5" s="156"/>
      <c r="BC5" s="292"/>
      <c r="BD5" s="584"/>
      <c r="BE5" s="586"/>
      <c r="BF5" s="589"/>
      <c r="BG5" s="162"/>
      <c r="BH5" s="161"/>
      <c r="BI5" s="270"/>
      <c r="BJ5" s="442"/>
      <c r="BK5" s="443"/>
      <c r="BL5" s="165"/>
      <c r="BM5" s="154"/>
      <c r="BN5" s="154"/>
      <c r="BO5" s="164"/>
      <c r="BP5" s="165"/>
      <c r="BQ5" s="164"/>
      <c r="BR5" s="409"/>
      <c r="BS5" s="270"/>
      <c r="BT5" s="589"/>
      <c r="BU5" s="142"/>
      <c r="BV5" s="409"/>
      <c r="BW5" s="270"/>
      <c r="BX5" s="270"/>
      <c r="BY5" s="586" t="s">
        <v>375</v>
      </c>
      <c r="BZ5" s="270"/>
      <c r="CA5" s="270"/>
      <c r="CB5" s="270"/>
      <c r="CC5" s="454"/>
      <c r="CD5" s="584"/>
      <c r="CE5" s="586"/>
      <c r="CF5" s="586"/>
      <c r="CG5" s="589"/>
      <c r="CH5" s="272"/>
      <c r="CI5" s="317"/>
      <c r="CJ5" s="285"/>
      <c r="CK5" s="264"/>
      <c r="CL5" s="264"/>
      <c r="CM5" s="276"/>
      <c r="CN5" s="583" t="s">
        <v>377</v>
      </c>
      <c r="CO5" s="264"/>
      <c r="CP5" s="264"/>
      <c r="CQ5" s="264"/>
      <c r="CR5" s="276"/>
      <c r="CS5" s="318"/>
      <c r="CT5" s="319"/>
      <c r="CU5" s="320"/>
      <c r="CV5" s="319"/>
      <c r="CW5" s="319"/>
      <c r="CX5" s="321"/>
      <c r="CY5" s="322"/>
      <c r="CZ5" s="323"/>
      <c r="DA5" s="324">
        <f>IF(COUNTA(CZ11:CZ17)/COUNTA(I11:I17)&gt;0.99,1,COUNTA(CZ11:CZ17)/COUNTA(I11:I17))</f>
        <v>0</v>
      </c>
      <c r="DB5" s="325" t="s">
        <v>302</v>
      </c>
      <c r="DC5" s="319"/>
      <c r="DD5" s="319"/>
      <c r="DE5" s="358"/>
      <c r="DF5" s="319"/>
      <c r="DG5" s="319"/>
      <c r="DH5" s="359"/>
      <c r="DI5" s="324">
        <f>IF(((COUNTA(DG11:DG17)+COUNTA(DH11:DH17))/2/COUNTA(I11:I17))&gt;0.99,1,((COUNTA(DG11:DG17)+COUNTA(DH11:DH17))/2/COUNTA(I11:I17)))</f>
        <v>0</v>
      </c>
      <c r="DJ5" s="325" t="s">
        <v>302</v>
      </c>
      <c r="DK5" s="309"/>
      <c r="DL5" s="360"/>
      <c r="DM5" s="309"/>
      <c r="DN5" s="309"/>
      <c r="DO5" s="309"/>
      <c r="DP5" s="309"/>
      <c r="DQ5" s="358"/>
      <c r="DR5" s="360"/>
      <c r="DS5" s="361"/>
      <c r="DT5" s="309"/>
      <c r="DU5" s="324">
        <f>IF(COUNTA(DU11:DU17)/COUNTA(I11:I17)&gt;0.99,1,COUNTA(DU11:DU17)/COUNTA(I11:I17))</f>
        <v>0</v>
      </c>
      <c r="DV5" s="325" t="s">
        <v>302</v>
      </c>
      <c r="DW5" s="388"/>
      <c r="DX5" s="319"/>
      <c r="DY5" s="358"/>
      <c r="DZ5" s="389"/>
      <c r="EA5" s="390"/>
      <c r="EB5" s="390"/>
      <c r="EC5" s="389"/>
      <c r="ED5" s="358"/>
      <c r="EE5" s="389"/>
      <c r="EF5" s="358"/>
      <c r="EG5" s="319"/>
      <c r="EH5" s="324">
        <f>IF(COUNTA(EH11:EH17)/COUNTA(I11:I17)&gt;0.99,1,COUNTA(EH11:EH17)/COUNTA(I11:I17))</f>
        <v>0</v>
      </c>
      <c r="EI5" s="325" t="s">
        <v>302</v>
      </c>
      <c r="EJ5" s="319"/>
      <c r="EK5" s="324">
        <f>IF(COUNTA(EK11:EK17)/COUNTA(I11:I17)&gt;0.99,1,COUNTA(EH11:EH17)/COUNTA(I11:I17))</f>
        <v>0</v>
      </c>
      <c r="EL5" s="325" t="s">
        <v>302</v>
      </c>
      <c r="EM5" s="391"/>
      <c r="EN5" s="404"/>
      <c r="EO5" s="405" t="s">
        <v>356</v>
      </c>
      <c r="EP5" s="406" t="s">
        <v>357</v>
      </c>
      <c r="EQ5" s="407"/>
      <c r="ER5" s="407"/>
      <c r="ES5" s="405"/>
      <c r="ET5" s="17" t="s">
        <v>4</v>
      </c>
      <c r="EV5" s="166"/>
      <c r="EW5" s="143">
        <f>+EW4*EV5</f>
        <v>0</v>
      </c>
      <c r="EX5" s="167"/>
    </row>
    <row r="6" spans="1:154" ht="13.5" thickBot="1" x14ac:dyDescent="0.25">
      <c r="A6" s="168"/>
      <c r="B6" s="169"/>
      <c r="C6" s="170"/>
      <c r="D6" s="170"/>
      <c r="E6" s="170" t="s">
        <v>199</v>
      </c>
      <c r="F6" s="170"/>
      <c r="G6" s="170"/>
      <c r="H6" s="170"/>
      <c r="I6" s="171"/>
      <c r="J6" s="172"/>
      <c r="K6" s="255" t="s">
        <v>413</v>
      </c>
      <c r="L6" s="231">
        <v>40295</v>
      </c>
      <c r="M6" s="133"/>
      <c r="N6" s="517"/>
      <c r="O6" s="173"/>
      <c r="P6" s="272"/>
      <c r="Q6" s="525"/>
      <c r="R6" s="526"/>
      <c r="S6" s="268"/>
      <c r="T6" s="268"/>
      <c r="U6" s="268"/>
      <c r="V6" s="269"/>
      <c r="W6" s="269"/>
      <c r="X6" s="269"/>
      <c r="Y6" s="270"/>
      <c r="Z6" s="269"/>
      <c r="AA6" s="271"/>
      <c r="AB6" s="155"/>
      <c r="AC6" s="268"/>
      <c r="AD6" s="268"/>
      <c r="AE6" s="268"/>
      <c r="AF6" s="268"/>
      <c r="AG6" s="154"/>
      <c r="AH6" s="154"/>
      <c r="AI6" s="270"/>
      <c r="AJ6" s="154"/>
      <c r="AK6" s="268"/>
      <c r="AL6" s="268"/>
      <c r="AM6" s="460"/>
      <c r="AN6" s="157"/>
      <c r="AO6" s="156"/>
      <c r="AP6" s="270"/>
      <c r="AQ6" s="158"/>
      <c r="AR6" s="158"/>
      <c r="AS6" s="159"/>
      <c r="AT6" s="272"/>
      <c r="AU6" s="157"/>
      <c r="AV6" s="160"/>
      <c r="AW6" s="160"/>
      <c r="AX6" s="268"/>
      <c r="AY6" s="154"/>
      <c r="AZ6" s="268"/>
      <c r="BA6" s="586"/>
      <c r="BB6" s="156"/>
      <c r="BC6" s="292"/>
      <c r="BD6" s="584"/>
      <c r="BE6" s="586"/>
      <c r="BF6" s="589"/>
      <c r="BG6" s="162"/>
      <c r="BH6" s="161"/>
      <c r="BI6" s="270"/>
      <c r="BJ6" s="442"/>
      <c r="BK6" s="443"/>
      <c r="BL6" s="165"/>
      <c r="BM6" s="154"/>
      <c r="BN6" s="154"/>
      <c r="BO6" s="164"/>
      <c r="BP6" s="165"/>
      <c r="BQ6" s="164"/>
      <c r="BR6" s="409"/>
      <c r="BS6" s="270"/>
      <c r="BT6" s="589"/>
      <c r="BU6" s="142"/>
      <c r="BV6" s="409"/>
      <c r="BW6" s="270"/>
      <c r="BX6" s="270"/>
      <c r="BY6" s="586"/>
      <c r="BZ6" s="270"/>
      <c r="CA6" s="270"/>
      <c r="CB6" s="270"/>
      <c r="CC6" s="454"/>
      <c r="CD6" s="584"/>
      <c r="CE6" s="586"/>
      <c r="CF6" s="586"/>
      <c r="CG6" s="589"/>
      <c r="CH6" s="272"/>
      <c r="CI6" s="317"/>
      <c r="CJ6" s="272"/>
      <c r="CK6" s="268"/>
      <c r="CL6" s="268"/>
      <c r="CM6" s="317"/>
      <c r="CN6" s="584"/>
      <c r="CO6" s="268"/>
      <c r="CP6" s="268"/>
      <c r="CQ6" s="268"/>
      <c r="CR6" s="317"/>
      <c r="CS6" s="326"/>
      <c r="CT6" s="327"/>
      <c r="CU6" s="328"/>
      <c r="CV6" s="326"/>
      <c r="CW6" s="327"/>
      <c r="CX6" s="329"/>
      <c r="CY6" s="327"/>
      <c r="CZ6" s="327"/>
      <c r="DA6" s="327"/>
      <c r="DB6" s="316"/>
      <c r="DC6" s="362"/>
      <c r="DD6" s="362"/>
      <c r="DE6" s="329"/>
      <c r="DF6" s="327"/>
      <c r="DG6" s="327"/>
      <c r="DH6" s="327"/>
      <c r="DI6" s="327"/>
      <c r="DJ6" s="316"/>
      <c r="DK6" s="363"/>
      <c r="DL6" s="360"/>
      <c r="DM6" s="235"/>
      <c r="DN6" s="235"/>
      <c r="DO6" s="235"/>
      <c r="DP6" s="364"/>
      <c r="DQ6" s="365"/>
      <c r="DR6" s="364"/>
      <c r="DS6" s="366"/>
      <c r="DT6" s="364"/>
      <c r="DU6" s="327"/>
      <c r="DV6" s="316"/>
      <c r="DW6" s="363"/>
      <c r="DX6" s="364"/>
      <c r="DY6" s="365"/>
      <c r="DZ6" s="235"/>
      <c r="EA6" s="235"/>
      <c r="EB6" s="392"/>
      <c r="EC6" s="235"/>
      <c r="ED6" s="365"/>
      <c r="EE6" s="235"/>
      <c r="EF6" s="393"/>
      <c r="EG6" s="235"/>
      <c r="EH6" s="327"/>
      <c r="EI6" s="316"/>
      <c r="EJ6" s="327"/>
      <c r="EK6" s="327"/>
      <c r="EL6" s="316"/>
      <c r="EM6" s="394"/>
      <c r="EN6" s="408"/>
      <c r="EO6" s="394"/>
      <c r="EP6" s="409"/>
      <c r="EQ6" s="270"/>
      <c r="ER6" s="270"/>
      <c r="ES6" s="410"/>
      <c r="ET6" s="17" t="s">
        <v>398</v>
      </c>
      <c r="EV6" s="35"/>
      <c r="EW6" s="174"/>
      <c r="EX6" s="175">
        <f>EV4+SUM(EW4:EX5)</f>
        <v>0</v>
      </c>
    </row>
    <row r="7" spans="1:154" ht="111" customHeight="1" x14ac:dyDescent="0.2">
      <c r="A7" s="94"/>
      <c r="B7" s="65"/>
      <c r="C7" s="176" t="s">
        <v>198</v>
      </c>
      <c r="D7" s="177"/>
      <c r="E7" s="176" t="s">
        <v>18</v>
      </c>
      <c r="F7" s="178"/>
      <c r="G7" s="179" t="s">
        <v>19</v>
      </c>
      <c r="H7" s="180"/>
      <c r="I7" s="181" t="s">
        <v>80</v>
      </c>
      <c r="J7" s="182" t="s">
        <v>407</v>
      </c>
      <c r="K7" s="256" t="s">
        <v>227</v>
      </c>
      <c r="L7" s="154" t="s">
        <v>20</v>
      </c>
      <c r="M7" s="160" t="s">
        <v>340</v>
      </c>
      <c r="N7" s="256" t="s">
        <v>419</v>
      </c>
      <c r="O7" s="183" t="s">
        <v>224</v>
      </c>
      <c r="P7" s="273" t="s">
        <v>371</v>
      </c>
      <c r="Q7" s="527" t="s">
        <v>420</v>
      </c>
      <c r="R7" s="528" t="s">
        <v>421</v>
      </c>
      <c r="S7" s="274" t="s">
        <v>22</v>
      </c>
      <c r="T7" s="274" t="s">
        <v>23</v>
      </c>
      <c r="U7" s="274" t="s">
        <v>21</v>
      </c>
      <c r="V7" s="274" t="s">
        <v>24</v>
      </c>
      <c r="W7" s="274" t="s">
        <v>25</v>
      </c>
      <c r="X7" s="274" t="s">
        <v>26</v>
      </c>
      <c r="Y7" s="274" t="s">
        <v>82</v>
      </c>
      <c r="Z7" s="274" t="s">
        <v>27</v>
      </c>
      <c r="AA7" s="275" t="s">
        <v>28</v>
      </c>
      <c r="AB7" s="184" t="s">
        <v>30</v>
      </c>
      <c r="AC7" s="256" t="s">
        <v>238</v>
      </c>
      <c r="AD7" s="256" t="s">
        <v>255</v>
      </c>
      <c r="AE7" s="256" t="s">
        <v>256</v>
      </c>
      <c r="AF7" s="256" t="s">
        <v>218</v>
      </c>
      <c r="AG7" s="161" t="s">
        <v>41</v>
      </c>
      <c r="AH7" s="161" t="s">
        <v>23</v>
      </c>
      <c r="AI7" s="274" t="s">
        <v>334</v>
      </c>
      <c r="AJ7" s="161" t="s">
        <v>374</v>
      </c>
      <c r="AK7" s="256" t="s">
        <v>215</v>
      </c>
      <c r="AL7" s="256" t="s">
        <v>214</v>
      </c>
      <c r="AM7" s="461" t="s">
        <v>328</v>
      </c>
      <c r="AN7" s="160" t="s">
        <v>31</v>
      </c>
      <c r="AO7" s="160" t="s">
        <v>216</v>
      </c>
      <c r="AP7" s="256" t="s">
        <v>217</v>
      </c>
      <c r="AQ7" s="160" t="s">
        <v>32</v>
      </c>
      <c r="AR7" s="160" t="s">
        <v>337</v>
      </c>
      <c r="AS7" s="163" t="s">
        <v>29</v>
      </c>
      <c r="AT7" s="286" t="s">
        <v>33</v>
      </c>
      <c r="AU7" s="182" t="s">
        <v>34</v>
      </c>
      <c r="AV7" s="182" t="s">
        <v>35</v>
      </c>
      <c r="AW7" s="182" t="s">
        <v>36</v>
      </c>
      <c r="AX7" s="274" t="s">
        <v>219</v>
      </c>
      <c r="AY7" s="161" t="s">
        <v>37</v>
      </c>
      <c r="AZ7" s="274" t="s">
        <v>38</v>
      </c>
      <c r="BA7" s="587"/>
      <c r="BB7" s="161" t="s">
        <v>39</v>
      </c>
      <c r="BC7" s="293" t="s">
        <v>40</v>
      </c>
      <c r="BD7" s="585"/>
      <c r="BE7" s="587"/>
      <c r="BF7" s="589"/>
      <c r="BG7" s="162" t="s">
        <v>310</v>
      </c>
      <c r="BH7" s="161" t="s">
        <v>311</v>
      </c>
      <c r="BI7" s="274" t="s">
        <v>422</v>
      </c>
      <c r="BJ7" s="444" t="s">
        <v>206</v>
      </c>
      <c r="BK7" s="445" t="s">
        <v>207</v>
      </c>
      <c r="BL7" s="162" t="s">
        <v>408</v>
      </c>
      <c r="BM7" s="161" t="s">
        <v>409</v>
      </c>
      <c r="BN7" s="161" t="s">
        <v>410</v>
      </c>
      <c r="BO7" s="163" t="s">
        <v>46</v>
      </c>
      <c r="BP7" s="162" t="s">
        <v>411</v>
      </c>
      <c r="BQ7" s="163" t="s">
        <v>412</v>
      </c>
      <c r="BR7" s="286" t="s">
        <v>424</v>
      </c>
      <c r="BS7" s="274" t="s">
        <v>425</v>
      </c>
      <c r="BT7" s="590"/>
      <c r="BU7" s="142"/>
      <c r="BV7" s="286" t="s">
        <v>53</v>
      </c>
      <c r="BW7" s="274" t="s">
        <v>54</v>
      </c>
      <c r="BX7" s="274" t="s">
        <v>399</v>
      </c>
      <c r="BY7" s="587"/>
      <c r="BZ7" s="274" t="s">
        <v>400</v>
      </c>
      <c r="CA7" s="274" t="s">
        <v>83</v>
      </c>
      <c r="CB7" s="274" t="s">
        <v>55</v>
      </c>
      <c r="CC7" s="410" t="s">
        <v>56</v>
      </c>
      <c r="CD7" s="585"/>
      <c r="CE7" s="587"/>
      <c r="CF7" s="587"/>
      <c r="CG7" s="590"/>
      <c r="CH7" s="286" t="s">
        <v>324</v>
      </c>
      <c r="CI7" s="275" t="s">
        <v>332</v>
      </c>
      <c r="CJ7" s="286" t="s">
        <v>42</v>
      </c>
      <c r="CK7" s="274" t="s">
        <v>43</v>
      </c>
      <c r="CL7" s="274" t="s">
        <v>44</v>
      </c>
      <c r="CM7" s="275" t="s">
        <v>45</v>
      </c>
      <c r="CN7" s="585"/>
      <c r="CO7" s="274" t="s">
        <v>335</v>
      </c>
      <c r="CP7" s="274" t="s">
        <v>341</v>
      </c>
      <c r="CQ7" s="274" t="s">
        <v>336</v>
      </c>
      <c r="CR7" s="275" t="s">
        <v>342</v>
      </c>
      <c r="CS7" s="330"/>
      <c r="CT7" s="331"/>
      <c r="CU7" s="332"/>
      <c r="CV7" s="333"/>
      <c r="CW7" s="334" t="s">
        <v>280</v>
      </c>
      <c r="CX7" s="335"/>
      <c r="CY7" s="336"/>
      <c r="CZ7" s="336"/>
      <c r="DA7" s="336"/>
      <c r="DB7" s="337"/>
      <c r="DC7" s="336"/>
      <c r="DD7" s="367" t="s">
        <v>282</v>
      </c>
      <c r="DE7" s="368"/>
      <c r="DF7" s="331"/>
      <c r="DG7" s="331"/>
      <c r="DH7" s="331"/>
      <c r="DI7" s="331"/>
      <c r="DJ7" s="332"/>
      <c r="DK7" s="369"/>
      <c r="DL7" s="370"/>
      <c r="DM7" s="370"/>
      <c r="DN7" s="370"/>
      <c r="DO7" s="370"/>
      <c r="DP7" s="334" t="s">
        <v>268</v>
      </c>
      <c r="DQ7" s="371"/>
      <c r="DR7" s="372" t="s">
        <v>283</v>
      </c>
      <c r="DS7" s="373"/>
      <c r="DT7" s="374"/>
      <c r="DU7" s="374"/>
      <c r="DV7" s="375"/>
      <c r="DW7" s="369"/>
      <c r="DX7" s="334" t="s">
        <v>277</v>
      </c>
      <c r="DY7" s="395"/>
      <c r="DZ7" s="396"/>
      <c r="EA7" s="370"/>
      <c r="EB7" s="397" t="s">
        <v>278</v>
      </c>
      <c r="EC7" s="370"/>
      <c r="ED7" s="371"/>
      <c r="EE7" s="398" t="s">
        <v>279</v>
      </c>
      <c r="EF7" s="399"/>
      <c r="EG7" s="374"/>
      <c r="EH7" s="374"/>
      <c r="EI7" s="375"/>
      <c r="EJ7" s="330"/>
      <c r="EK7" s="331"/>
      <c r="EL7" s="332"/>
      <c r="EM7" s="400" t="s">
        <v>312</v>
      </c>
      <c r="EN7" s="411"/>
      <c r="EO7" s="412" t="s">
        <v>358</v>
      </c>
      <c r="EP7" s="413" t="s">
        <v>359</v>
      </c>
      <c r="EQ7" s="256" t="s">
        <v>360</v>
      </c>
      <c r="ER7" s="256" t="s">
        <v>361</v>
      </c>
      <c r="ES7" s="293" t="s">
        <v>362</v>
      </c>
      <c r="ET7" s="19" t="s">
        <v>259</v>
      </c>
      <c r="EU7" s="19" t="s">
        <v>329</v>
      </c>
      <c r="EV7" s="185" t="s">
        <v>330</v>
      </c>
      <c r="EW7" s="185" t="s">
        <v>47</v>
      </c>
      <c r="EX7" s="186" t="s">
        <v>48</v>
      </c>
    </row>
    <row r="8" spans="1:154" ht="12.75" x14ac:dyDescent="0.2">
      <c r="A8" s="187"/>
      <c r="B8" s="493"/>
      <c r="C8" s="494"/>
      <c r="D8" s="495"/>
      <c r="E8" s="494"/>
      <c r="F8" s="496"/>
      <c r="G8" s="497"/>
      <c r="H8" s="498"/>
      <c r="I8" s="499"/>
      <c r="J8" s="500"/>
      <c r="K8" s="477"/>
      <c r="L8" s="501"/>
      <c r="M8" s="502"/>
      <c r="N8" s="538"/>
      <c r="O8" s="503"/>
      <c r="P8" s="478"/>
      <c r="Q8" s="539"/>
      <c r="R8" s="540"/>
      <c r="S8" s="477"/>
      <c r="T8" s="477"/>
      <c r="U8" s="477"/>
      <c r="V8" s="477"/>
      <c r="W8" s="477"/>
      <c r="X8" s="479"/>
      <c r="Y8" s="477"/>
      <c r="Z8" s="477"/>
      <c r="AA8" s="480"/>
      <c r="AB8" s="504"/>
      <c r="AC8" s="477"/>
      <c r="AD8" s="477"/>
      <c r="AE8" s="477"/>
      <c r="AF8" s="477"/>
      <c r="AG8" s="505"/>
      <c r="AH8" s="505"/>
      <c r="AI8" s="477"/>
      <c r="AJ8" s="505"/>
      <c r="AK8" s="477"/>
      <c r="AL8" s="477"/>
      <c r="AM8" s="506"/>
      <c r="AN8" s="507"/>
      <c r="AO8" s="505"/>
      <c r="AP8" s="477"/>
      <c r="AQ8" s="505"/>
      <c r="AR8" s="505"/>
      <c r="AS8" s="508">
        <f>ET9</f>
        <v>0</v>
      </c>
      <c r="AT8" s="478"/>
      <c r="AU8" s="507"/>
      <c r="AV8" s="507">
        <f>SUBTOTAL(9,AV11:AV17)</f>
        <v>0</v>
      </c>
      <c r="AW8" s="507">
        <f>SUBTOTAL(9,AW11:AW17)</f>
        <v>0</v>
      </c>
      <c r="AX8" s="477"/>
      <c r="AY8" s="505"/>
      <c r="AZ8" s="477"/>
      <c r="BA8" s="477"/>
      <c r="BB8" s="501"/>
      <c r="BC8" s="481"/>
      <c r="BD8" s="478"/>
      <c r="BE8" s="477"/>
      <c r="BF8" s="482"/>
      <c r="BG8" s="504"/>
      <c r="BH8" s="509">
        <f>SUM(BL8:BQ8)</f>
        <v>13</v>
      </c>
      <c r="BI8" s="535"/>
      <c r="BJ8" s="483"/>
      <c r="BK8" s="484"/>
      <c r="BL8" s="510">
        <f t="shared" ref="BL8:BQ8" si="0">SUBTOTAL(9,BL11:BL17)</f>
        <v>4</v>
      </c>
      <c r="BM8" s="509">
        <f t="shared" si="0"/>
        <v>0</v>
      </c>
      <c r="BN8" s="509">
        <f t="shared" si="0"/>
        <v>2</v>
      </c>
      <c r="BO8" s="511">
        <f t="shared" si="0"/>
        <v>0</v>
      </c>
      <c r="BP8" s="510">
        <f t="shared" si="0"/>
        <v>2</v>
      </c>
      <c r="BQ8" s="511">
        <f t="shared" si="0"/>
        <v>5</v>
      </c>
      <c r="BR8" s="536"/>
      <c r="BS8" s="541"/>
      <c r="BT8" s="482"/>
      <c r="BU8" s="512"/>
      <c r="BV8" s="485"/>
      <c r="BW8" s="479"/>
      <c r="BX8" s="479"/>
      <c r="BY8" s="479"/>
      <c r="BZ8" s="479"/>
      <c r="CA8" s="479"/>
      <c r="CB8" s="479"/>
      <c r="CC8" s="482"/>
      <c r="CD8" s="485"/>
      <c r="CE8" s="479"/>
      <c r="CF8" s="479"/>
      <c r="CG8" s="480"/>
      <c r="CH8" s="486" t="s">
        <v>239</v>
      </c>
      <c r="CI8" s="487"/>
      <c r="CJ8" s="478"/>
      <c r="CK8" s="479"/>
      <c r="CL8" s="479"/>
      <c r="CM8" s="480"/>
      <c r="CN8" s="485"/>
      <c r="CO8" s="479"/>
      <c r="CP8" s="479"/>
      <c r="CQ8" s="479"/>
      <c r="CR8" s="480"/>
      <c r="CS8" s="478" t="s">
        <v>74</v>
      </c>
      <c r="CT8" s="477" t="s">
        <v>209</v>
      </c>
      <c r="CU8" s="488" t="s">
        <v>76</v>
      </c>
      <c r="CV8" s="478" t="s">
        <v>211</v>
      </c>
      <c r="CW8" s="477" t="s">
        <v>211</v>
      </c>
      <c r="CX8" s="482" t="s">
        <v>211</v>
      </c>
      <c r="CY8" s="478" t="s">
        <v>77</v>
      </c>
      <c r="CZ8" s="477" t="s">
        <v>232</v>
      </c>
      <c r="DA8" s="489" t="s">
        <v>231</v>
      </c>
      <c r="DB8" s="488" t="s">
        <v>86</v>
      </c>
      <c r="DC8" s="478" t="s">
        <v>237</v>
      </c>
      <c r="DD8" s="477" t="s">
        <v>235</v>
      </c>
      <c r="DE8" s="482" t="s">
        <v>236</v>
      </c>
      <c r="DF8" s="478" t="s">
        <v>78</v>
      </c>
      <c r="DG8" s="477" t="s">
        <v>281</v>
      </c>
      <c r="DH8" s="477" t="s">
        <v>240</v>
      </c>
      <c r="DI8" s="489" t="s">
        <v>231</v>
      </c>
      <c r="DJ8" s="488" t="s">
        <v>344</v>
      </c>
      <c r="DK8" s="478" t="s">
        <v>261</v>
      </c>
      <c r="DL8" s="477" t="s">
        <v>266</v>
      </c>
      <c r="DM8" s="477" t="s">
        <v>262</v>
      </c>
      <c r="DN8" s="477" t="s">
        <v>264</v>
      </c>
      <c r="DO8" s="477" t="s">
        <v>264</v>
      </c>
      <c r="DP8" s="477" t="s">
        <v>232</v>
      </c>
      <c r="DQ8" s="482" t="s">
        <v>86</v>
      </c>
      <c r="DR8" s="478" t="s">
        <v>271</v>
      </c>
      <c r="DS8" s="490" t="s">
        <v>49</v>
      </c>
      <c r="DT8" s="478" t="s">
        <v>71</v>
      </c>
      <c r="DU8" s="477" t="s">
        <v>232</v>
      </c>
      <c r="DV8" s="488" t="s">
        <v>231</v>
      </c>
      <c r="DW8" s="478" t="s">
        <v>269</v>
      </c>
      <c r="DX8" s="477" t="s">
        <v>51</v>
      </c>
      <c r="DY8" s="482" t="s">
        <v>52</v>
      </c>
      <c r="DZ8" s="478" t="s">
        <v>273</v>
      </c>
      <c r="EA8" s="477" t="s">
        <v>275</v>
      </c>
      <c r="EB8" s="477" t="s">
        <v>274</v>
      </c>
      <c r="EC8" s="477" t="s">
        <v>205</v>
      </c>
      <c r="ED8" s="482" t="s">
        <v>86</v>
      </c>
      <c r="EE8" s="478" t="s">
        <v>50</v>
      </c>
      <c r="EF8" s="482" t="s">
        <v>49</v>
      </c>
      <c r="EG8" s="478" t="s">
        <v>85</v>
      </c>
      <c r="EH8" s="477" t="s">
        <v>232</v>
      </c>
      <c r="EI8" s="488" t="s">
        <v>231</v>
      </c>
      <c r="EJ8" s="478" t="s">
        <v>79</v>
      </c>
      <c r="EK8" s="477" t="s">
        <v>232</v>
      </c>
      <c r="EL8" s="488" t="s">
        <v>231</v>
      </c>
      <c r="EM8" s="482"/>
      <c r="EN8" s="491" t="s">
        <v>393</v>
      </c>
      <c r="EO8" s="492"/>
      <c r="EP8" s="478"/>
      <c r="EQ8" s="477"/>
      <c r="ER8" s="477"/>
      <c r="ES8" s="482"/>
      <c r="ET8" s="188" t="s">
        <v>369</v>
      </c>
      <c r="EU8" s="132"/>
      <c r="EV8" s="189"/>
      <c r="EW8" s="189"/>
      <c r="EX8" s="190"/>
    </row>
    <row r="9" spans="1:154" ht="12.75" x14ac:dyDescent="0.2">
      <c r="A9" s="191"/>
      <c r="B9" s="192"/>
      <c r="C9" s="193"/>
      <c r="D9" s="194"/>
      <c r="E9" s="193"/>
      <c r="F9" s="195"/>
      <c r="G9" s="196"/>
      <c r="H9" s="197"/>
      <c r="I9" s="198"/>
      <c r="J9" s="476"/>
      <c r="K9" s="258"/>
      <c r="L9" s="200"/>
      <c r="M9" s="201"/>
      <c r="N9" s="518"/>
      <c r="O9" s="202"/>
      <c r="P9" s="277" t="s">
        <v>57</v>
      </c>
      <c r="Q9" s="529"/>
      <c r="R9" s="530"/>
      <c r="S9" s="258" t="s">
        <v>59</v>
      </c>
      <c r="T9" s="258" t="s">
        <v>60</v>
      </c>
      <c r="U9" s="258" t="s">
        <v>58</v>
      </c>
      <c r="V9" s="258" t="s">
        <v>61</v>
      </c>
      <c r="W9" s="258" t="s">
        <v>61</v>
      </c>
      <c r="X9" s="278"/>
      <c r="Y9" s="258" t="s">
        <v>67</v>
      </c>
      <c r="Z9" s="258" t="s">
        <v>62</v>
      </c>
      <c r="AA9" s="279"/>
      <c r="AB9" s="203"/>
      <c r="AC9" s="258"/>
      <c r="AD9" s="258"/>
      <c r="AE9" s="258"/>
      <c r="AF9" s="258"/>
      <c r="AG9" s="199"/>
      <c r="AH9" s="199" t="s">
        <v>60</v>
      </c>
      <c r="AI9" s="258" t="s">
        <v>66</v>
      </c>
      <c r="AJ9" s="199" t="s">
        <v>373</v>
      </c>
      <c r="AK9" s="258"/>
      <c r="AL9" s="258"/>
      <c r="AM9" s="471"/>
      <c r="AN9" s="204"/>
      <c r="AO9" s="199"/>
      <c r="AP9" s="258"/>
      <c r="AQ9" s="199"/>
      <c r="AR9" s="199"/>
      <c r="AS9" s="205" t="s">
        <v>396</v>
      </c>
      <c r="AT9" s="277" t="s">
        <v>63</v>
      </c>
      <c r="AU9" s="204" t="s">
        <v>81</v>
      </c>
      <c r="AV9" s="204" t="s">
        <v>57</v>
      </c>
      <c r="AW9" s="204" t="s">
        <v>64</v>
      </c>
      <c r="AX9" s="258" t="s">
        <v>63</v>
      </c>
      <c r="AY9" s="199"/>
      <c r="AZ9" s="258" t="s">
        <v>65</v>
      </c>
      <c r="BA9" s="258" t="s">
        <v>221</v>
      </c>
      <c r="BB9" s="200"/>
      <c r="BC9" s="294"/>
      <c r="BD9" s="277" t="s">
        <v>68</v>
      </c>
      <c r="BE9" s="258" t="s">
        <v>228</v>
      </c>
      <c r="BF9" s="295" t="s">
        <v>230</v>
      </c>
      <c r="BG9" s="203"/>
      <c r="BH9" s="206" t="s">
        <v>370</v>
      </c>
      <c r="BI9" s="534"/>
      <c r="BJ9" s="446"/>
      <c r="BK9" s="447"/>
      <c r="BL9" s="208" t="s">
        <v>69</v>
      </c>
      <c r="BM9" s="206" t="s">
        <v>69</v>
      </c>
      <c r="BN9" s="206" t="s">
        <v>70</v>
      </c>
      <c r="BO9" s="207" t="s">
        <v>71</v>
      </c>
      <c r="BP9" s="208" t="s">
        <v>72</v>
      </c>
      <c r="BQ9" s="207" t="s">
        <v>73</v>
      </c>
      <c r="BR9" s="277"/>
      <c r="BS9" s="258"/>
      <c r="BT9" s="295"/>
      <c r="BU9" s="209"/>
      <c r="BV9" s="338"/>
      <c r="BW9" s="278"/>
      <c r="BX9" s="278"/>
      <c r="BY9" s="278"/>
      <c r="BZ9" s="278"/>
      <c r="CA9" s="278"/>
      <c r="CB9" s="278"/>
      <c r="CC9" s="295"/>
      <c r="CD9" s="338"/>
      <c r="CE9" s="278"/>
      <c r="CF9" s="278" t="s">
        <v>303</v>
      </c>
      <c r="CG9" s="279"/>
      <c r="CH9" s="339" t="s">
        <v>376</v>
      </c>
      <c r="CI9" s="340"/>
      <c r="CJ9" s="277"/>
      <c r="CK9" s="278"/>
      <c r="CL9" s="278"/>
      <c r="CM9" s="279"/>
      <c r="CN9" s="338"/>
      <c r="CO9" s="278"/>
      <c r="CP9" s="278"/>
      <c r="CQ9" s="278"/>
      <c r="CR9" s="279"/>
      <c r="CS9" s="277" t="s">
        <v>75</v>
      </c>
      <c r="CT9" s="258" t="s">
        <v>208</v>
      </c>
      <c r="CU9" s="341" t="s">
        <v>210</v>
      </c>
      <c r="CV9" s="277" t="s">
        <v>233</v>
      </c>
      <c r="CW9" s="258" t="s">
        <v>212</v>
      </c>
      <c r="CX9" s="295" t="s">
        <v>267</v>
      </c>
      <c r="CY9" s="277" t="s">
        <v>75</v>
      </c>
      <c r="CZ9" s="258" t="s">
        <v>208</v>
      </c>
      <c r="DA9" s="342" t="s">
        <v>210</v>
      </c>
      <c r="DB9" s="341" t="s">
        <v>343</v>
      </c>
      <c r="DC9" s="277" t="s">
        <v>234</v>
      </c>
      <c r="DD9" s="258" t="s">
        <v>234</v>
      </c>
      <c r="DE9" s="295" t="s">
        <v>213</v>
      </c>
      <c r="DF9" s="277" t="s">
        <v>75</v>
      </c>
      <c r="DG9" s="258" t="s">
        <v>208</v>
      </c>
      <c r="DH9" s="258" t="s">
        <v>208</v>
      </c>
      <c r="DI9" s="342" t="s">
        <v>210</v>
      </c>
      <c r="DJ9" s="341" t="s">
        <v>343</v>
      </c>
      <c r="DK9" s="277" t="s">
        <v>260</v>
      </c>
      <c r="DL9" s="258"/>
      <c r="DM9" s="258"/>
      <c r="DN9" s="258" t="s">
        <v>263</v>
      </c>
      <c r="DO9" s="258" t="s">
        <v>265</v>
      </c>
      <c r="DP9" s="258" t="s">
        <v>208</v>
      </c>
      <c r="DQ9" s="295"/>
      <c r="DR9" s="277" t="s">
        <v>272</v>
      </c>
      <c r="DS9" s="295" t="s">
        <v>272</v>
      </c>
      <c r="DT9" s="277" t="s">
        <v>75</v>
      </c>
      <c r="DU9" s="258" t="s">
        <v>208</v>
      </c>
      <c r="DV9" s="341" t="s">
        <v>210</v>
      </c>
      <c r="DW9" s="277" t="s">
        <v>270</v>
      </c>
      <c r="DX9" s="258"/>
      <c r="DY9" s="295"/>
      <c r="DZ9" s="277" t="s">
        <v>210</v>
      </c>
      <c r="EA9" s="258" t="s">
        <v>276</v>
      </c>
      <c r="EB9" s="258" t="s">
        <v>210</v>
      </c>
      <c r="EC9" s="258" t="s">
        <v>210</v>
      </c>
      <c r="ED9" s="295"/>
      <c r="EE9" s="277" t="s">
        <v>210</v>
      </c>
      <c r="EF9" s="295" t="s">
        <v>210</v>
      </c>
      <c r="EG9" s="277" t="s">
        <v>75</v>
      </c>
      <c r="EH9" s="258" t="s">
        <v>208</v>
      </c>
      <c r="EI9" s="341" t="s">
        <v>210</v>
      </c>
      <c r="EJ9" s="277" t="s">
        <v>75</v>
      </c>
      <c r="EK9" s="258" t="s">
        <v>208</v>
      </c>
      <c r="EL9" s="341" t="s">
        <v>210</v>
      </c>
      <c r="EM9" s="295"/>
      <c r="EN9" s="414" t="s">
        <v>394</v>
      </c>
      <c r="EO9" s="290"/>
      <c r="EP9" s="277"/>
      <c r="EQ9" s="258"/>
      <c r="ER9" s="258"/>
      <c r="ES9" s="295"/>
      <c r="ET9" s="210">
        <f>SUBTOTAL(9,ET11:ET17)</f>
        <v>0</v>
      </c>
      <c r="EU9" s="200"/>
      <c r="EV9" s="211"/>
      <c r="EW9" s="211"/>
      <c r="EX9" s="212"/>
    </row>
    <row r="10" spans="1:154" ht="13.5" thickBot="1" x14ac:dyDescent="0.25">
      <c r="A10" s="213">
        <v>0</v>
      </c>
      <c r="B10" s="214" t="s">
        <v>289</v>
      </c>
      <c r="C10" s="215">
        <v>1</v>
      </c>
      <c r="D10" s="216" t="s">
        <v>288</v>
      </c>
      <c r="E10" s="215">
        <v>2</v>
      </c>
      <c r="F10" s="216" t="s">
        <v>287</v>
      </c>
      <c r="G10" s="217">
        <v>3</v>
      </c>
      <c r="H10" s="218" t="s">
        <v>286</v>
      </c>
      <c r="I10" s="219">
        <v>4</v>
      </c>
      <c r="J10" s="220">
        <v>5</v>
      </c>
      <c r="K10" s="259" t="s">
        <v>89</v>
      </c>
      <c r="L10" s="221" t="s">
        <v>90</v>
      </c>
      <c r="M10" s="222" t="s">
        <v>91</v>
      </c>
      <c r="N10" s="259" t="s">
        <v>92</v>
      </c>
      <c r="O10" s="223" t="s">
        <v>93</v>
      </c>
      <c r="P10" s="280" t="s">
        <v>94</v>
      </c>
      <c r="Q10" s="448" t="s">
        <v>95</v>
      </c>
      <c r="R10" s="448" t="s">
        <v>96</v>
      </c>
      <c r="S10" s="259" t="s">
        <v>97</v>
      </c>
      <c r="T10" s="259" t="s">
        <v>98</v>
      </c>
      <c r="U10" s="259" t="s">
        <v>99</v>
      </c>
      <c r="V10" s="259" t="s">
        <v>100</v>
      </c>
      <c r="W10" s="259" t="s">
        <v>101</v>
      </c>
      <c r="X10" s="259" t="s">
        <v>102</v>
      </c>
      <c r="Y10" s="259" t="s">
        <v>103</v>
      </c>
      <c r="Z10" s="259" t="s">
        <v>104</v>
      </c>
      <c r="AA10" s="281" t="s">
        <v>105</v>
      </c>
      <c r="AB10" s="224" t="s">
        <v>106</v>
      </c>
      <c r="AC10" s="259" t="s">
        <v>107</v>
      </c>
      <c r="AD10" s="259" t="s">
        <v>108</v>
      </c>
      <c r="AE10" s="259" t="s">
        <v>109</v>
      </c>
      <c r="AF10" s="259" t="s">
        <v>110</v>
      </c>
      <c r="AG10" s="221" t="s">
        <v>111</v>
      </c>
      <c r="AH10" s="221" t="s">
        <v>112</v>
      </c>
      <c r="AI10" s="259" t="s">
        <v>113</v>
      </c>
      <c r="AJ10" s="221" t="s">
        <v>114</v>
      </c>
      <c r="AK10" s="259" t="s">
        <v>115</v>
      </c>
      <c r="AL10" s="259" t="s">
        <v>116</v>
      </c>
      <c r="AM10" s="472" t="s">
        <v>117</v>
      </c>
      <c r="AN10" s="222" t="s">
        <v>118</v>
      </c>
      <c r="AO10" s="221" t="s">
        <v>119</v>
      </c>
      <c r="AP10" s="259" t="s">
        <v>120</v>
      </c>
      <c r="AQ10" s="221" t="s">
        <v>121</v>
      </c>
      <c r="AR10" s="221" t="s">
        <v>122</v>
      </c>
      <c r="AS10" s="223" t="s">
        <v>123</v>
      </c>
      <c r="AT10" s="280" t="s">
        <v>124</v>
      </c>
      <c r="AU10" s="221" t="s">
        <v>125</v>
      </c>
      <c r="AV10" s="221" t="s">
        <v>126</v>
      </c>
      <c r="AW10" s="221" t="s">
        <v>127</v>
      </c>
      <c r="AX10" s="259" t="s">
        <v>128</v>
      </c>
      <c r="AY10" s="221" t="s">
        <v>129</v>
      </c>
      <c r="AZ10" s="259" t="s">
        <v>130</v>
      </c>
      <c r="BA10" s="259" t="s">
        <v>131</v>
      </c>
      <c r="BB10" s="221" t="s">
        <v>132</v>
      </c>
      <c r="BC10" s="296" t="s">
        <v>133</v>
      </c>
      <c r="BD10" s="280" t="s">
        <v>134</v>
      </c>
      <c r="BE10" s="259" t="s">
        <v>135</v>
      </c>
      <c r="BF10" s="281" t="s">
        <v>136</v>
      </c>
      <c r="BG10" s="224" t="s">
        <v>137</v>
      </c>
      <c r="BH10" s="221" t="s">
        <v>138</v>
      </c>
      <c r="BI10" s="259" t="s">
        <v>139</v>
      </c>
      <c r="BJ10" s="448" t="s">
        <v>140</v>
      </c>
      <c r="BK10" s="449" t="s">
        <v>141</v>
      </c>
      <c r="BL10" s="224" t="s">
        <v>142</v>
      </c>
      <c r="BM10" s="221" t="s">
        <v>143</v>
      </c>
      <c r="BN10" s="221" t="s">
        <v>144</v>
      </c>
      <c r="BO10" s="223" t="s">
        <v>145</v>
      </c>
      <c r="BP10" s="224" t="s">
        <v>146</v>
      </c>
      <c r="BQ10" s="223" t="s">
        <v>147</v>
      </c>
      <c r="BR10" s="280" t="s">
        <v>148</v>
      </c>
      <c r="BS10" s="259" t="s">
        <v>149</v>
      </c>
      <c r="BT10" s="281" t="s">
        <v>150</v>
      </c>
      <c r="BU10" s="225" t="s">
        <v>151</v>
      </c>
      <c r="BV10" s="280" t="s">
        <v>152</v>
      </c>
      <c r="BW10" s="259" t="s">
        <v>153</v>
      </c>
      <c r="BX10" s="259" t="s">
        <v>154</v>
      </c>
      <c r="BY10" s="259" t="s">
        <v>155</v>
      </c>
      <c r="BZ10" s="259" t="s">
        <v>156</v>
      </c>
      <c r="CA10" s="259" t="s">
        <v>157</v>
      </c>
      <c r="CB10" s="259" t="s">
        <v>158</v>
      </c>
      <c r="CC10" s="281" t="s">
        <v>159</v>
      </c>
      <c r="CD10" s="280" t="s">
        <v>160</v>
      </c>
      <c r="CE10" s="259" t="s">
        <v>161</v>
      </c>
      <c r="CF10" s="259" t="s">
        <v>162</v>
      </c>
      <c r="CG10" s="281" t="s">
        <v>163</v>
      </c>
      <c r="CH10" s="280" t="s">
        <v>164</v>
      </c>
      <c r="CI10" s="281" t="s">
        <v>165</v>
      </c>
      <c r="CJ10" s="280" t="s">
        <v>166</v>
      </c>
      <c r="CK10" s="259" t="s">
        <v>167</v>
      </c>
      <c r="CL10" s="259" t="s">
        <v>168</v>
      </c>
      <c r="CM10" s="281" t="s">
        <v>169</v>
      </c>
      <c r="CN10" s="280" t="s">
        <v>170</v>
      </c>
      <c r="CO10" s="259" t="s">
        <v>171</v>
      </c>
      <c r="CP10" s="259" t="s">
        <v>172</v>
      </c>
      <c r="CQ10" s="259" t="s">
        <v>173</v>
      </c>
      <c r="CR10" s="281" t="s">
        <v>174</v>
      </c>
      <c r="CS10" s="280" t="s">
        <v>175</v>
      </c>
      <c r="CT10" s="259" t="s">
        <v>241</v>
      </c>
      <c r="CU10" s="281" t="s">
        <v>242</v>
      </c>
      <c r="CV10" s="280" t="s">
        <v>243</v>
      </c>
      <c r="CW10" s="259" t="s">
        <v>244</v>
      </c>
      <c r="CX10" s="281" t="s">
        <v>245</v>
      </c>
      <c r="CY10" s="280" t="s">
        <v>246</v>
      </c>
      <c r="CZ10" s="259" t="s">
        <v>247</v>
      </c>
      <c r="DA10" s="259" t="s">
        <v>248</v>
      </c>
      <c r="DB10" s="281" t="s">
        <v>249</v>
      </c>
      <c r="DC10" s="280" t="s">
        <v>250</v>
      </c>
      <c r="DD10" s="259" t="s">
        <v>251</v>
      </c>
      <c r="DE10" s="281" t="s">
        <v>252</v>
      </c>
      <c r="DF10" s="280" t="s">
        <v>253</v>
      </c>
      <c r="DG10" s="259" t="s">
        <v>254</v>
      </c>
      <c r="DH10" s="259" t="s">
        <v>176</v>
      </c>
      <c r="DI10" s="259" t="s">
        <v>177</v>
      </c>
      <c r="DJ10" s="281" t="s">
        <v>178</v>
      </c>
      <c r="DK10" s="280" t="s">
        <v>179</v>
      </c>
      <c r="DL10" s="259" t="s">
        <v>180</v>
      </c>
      <c r="DM10" s="259" t="s">
        <v>181</v>
      </c>
      <c r="DN10" s="259" t="s">
        <v>182</v>
      </c>
      <c r="DO10" s="259" t="s">
        <v>183</v>
      </c>
      <c r="DP10" s="259" t="s">
        <v>184</v>
      </c>
      <c r="DQ10" s="281" t="s">
        <v>185</v>
      </c>
      <c r="DR10" s="280" t="s">
        <v>186</v>
      </c>
      <c r="DS10" s="281" t="s">
        <v>187</v>
      </c>
      <c r="DT10" s="280" t="s">
        <v>188</v>
      </c>
      <c r="DU10" s="259" t="s">
        <v>189</v>
      </c>
      <c r="DV10" s="281" t="s">
        <v>190</v>
      </c>
      <c r="DW10" s="280" t="s">
        <v>191</v>
      </c>
      <c r="DX10" s="259" t="s">
        <v>192</v>
      </c>
      <c r="DY10" s="281" t="s">
        <v>193</v>
      </c>
      <c r="DZ10" s="280" t="s">
        <v>194</v>
      </c>
      <c r="EA10" s="259" t="s">
        <v>195</v>
      </c>
      <c r="EB10" s="259" t="s">
        <v>196</v>
      </c>
      <c r="EC10" s="259" t="s">
        <v>197</v>
      </c>
      <c r="ED10" s="281" t="s">
        <v>200</v>
      </c>
      <c r="EE10" s="280" t="s">
        <v>345</v>
      </c>
      <c r="EF10" s="281" t="s">
        <v>201</v>
      </c>
      <c r="EG10" s="280" t="s">
        <v>202</v>
      </c>
      <c r="EH10" s="259" t="s">
        <v>203</v>
      </c>
      <c r="EI10" s="281" t="s">
        <v>204</v>
      </c>
      <c r="EJ10" s="280" t="s">
        <v>346</v>
      </c>
      <c r="EK10" s="259" t="s">
        <v>295</v>
      </c>
      <c r="EL10" s="281" t="s">
        <v>296</v>
      </c>
      <c r="EM10" s="401" t="s">
        <v>301</v>
      </c>
      <c r="EN10" s="401" t="s">
        <v>395</v>
      </c>
      <c r="EO10" s="415" t="s">
        <v>313</v>
      </c>
      <c r="EP10" s="280" t="s">
        <v>338</v>
      </c>
      <c r="EQ10" s="259" t="s">
        <v>339</v>
      </c>
      <c r="ER10" s="259" t="s">
        <v>347</v>
      </c>
      <c r="ES10" s="281" t="s">
        <v>363</v>
      </c>
      <c r="ET10" s="224" t="s">
        <v>364</v>
      </c>
      <c r="EU10" s="221" t="s">
        <v>365</v>
      </c>
      <c r="EV10" s="226" t="s">
        <v>366</v>
      </c>
      <c r="EW10" s="226" t="s">
        <v>367</v>
      </c>
      <c r="EX10" s="227" t="s">
        <v>368</v>
      </c>
    </row>
    <row r="11" spans="1:154" ht="20.100000000000001" customHeight="1" thickBot="1" x14ac:dyDescent="0.25">
      <c r="A11" s="573">
        <v>1</v>
      </c>
      <c r="B11" s="545" t="s">
        <v>351</v>
      </c>
      <c r="C11" s="569">
        <v>308</v>
      </c>
      <c r="D11" s="600" t="s">
        <v>350</v>
      </c>
      <c r="E11" s="544" t="s">
        <v>498</v>
      </c>
      <c r="F11" s="570" t="s">
        <v>352</v>
      </c>
      <c r="G11" s="571" t="s">
        <v>499</v>
      </c>
      <c r="H11" s="599" t="s">
        <v>497</v>
      </c>
      <c r="I11" s="574" t="s">
        <v>500</v>
      </c>
      <c r="J11" s="546"/>
      <c r="K11" s="580" t="s">
        <v>445</v>
      </c>
      <c r="L11" s="578"/>
      <c r="M11" s="572"/>
      <c r="N11" s="548"/>
      <c r="O11" s="549"/>
      <c r="P11" s="550"/>
      <c r="Q11" s="531"/>
      <c r="R11" s="531"/>
      <c r="S11" s="547"/>
      <c r="T11" s="547"/>
      <c r="U11" s="547"/>
      <c r="V11" s="547"/>
      <c r="W11" s="547"/>
      <c r="X11" s="547"/>
      <c r="Y11" s="547"/>
      <c r="Z11" s="547"/>
      <c r="AA11" s="551"/>
      <c r="AB11" s="552"/>
      <c r="AC11" s="547"/>
      <c r="AD11" s="547"/>
      <c r="AE11" s="547"/>
      <c r="AF11" s="547"/>
      <c r="AG11" s="553"/>
      <c r="AH11" s="554" t="str">
        <f>IF(ISNUMBER(AG11),1296*S11*S11/AG11/AG11,"")</f>
        <v/>
      </c>
      <c r="AI11" s="555" t="str">
        <f>IF(ISNUMBER(AH11),100*AH11/(#REF!),"")</f>
        <v/>
      </c>
      <c r="AJ11" s="553">
        <v>250</v>
      </c>
      <c r="AK11" s="547"/>
      <c r="AL11" s="547"/>
      <c r="AM11" s="556"/>
      <c r="AN11" s="557"/>
      <c r="AO11" s="553" t="s">
        <v>446</v>
      </c>
      <c r="AP11" s="547" t="s">
        <v>447</v>
      </c>
      <c r="AQ11" s="553" t="s">
        <v>448</v>
      </c>
      <c r="AR11" s="553" t="s">
        <v>446</v>
      </c>
      <c r="AS11" s="575"/>
      <c r="AT11" s="550"/>
      <c r="AU11" s="557"/>
      <c r="AV11" s="557"/>
      <c r="AW11" s="557"/>
      <c r="AX11" s="547"/>
      <c r="AY11" s="553"/>
      <c r="AZ11" s="547"/>
      <c r="BA11" s="547"/>
      <c r="BB11" s="553"/>
      <c r="BC11" s="297"/>
      <c r="BD11" s="558"/>
      <c r="BE11" s="547"/>
      <c r="BF11" s="551"/>
      <c r="BG11" s="552"/>
      <c r="BH11" s="553"/>
      <c r="BI11" s="555"/>
      <c r="BJ11" s="450"/>
      <c r="BK11" s="579"/>
      <c r="BL11" s="552">
        <v>2</v>
      </c>
      <c r="BM11" s="553"/>
      <c r="BN11" s="553"/>
      <c r="BO11" s="553"/>
      <c r="BP11" s="553">
        <v>1</v>
      </c>
      <c r="BQ11" s="576"/>
      <c r="BR11" s="559"/>
      <c r="BS11" s="550"/>
      <c r="BT11" s="560"/>
      <c r="BU11" s="561"/>
      <c r="BV11" s="577"/>
      <c r="BW11" s="550"/>
      <c r="BX11" s="547"/>
      <c r="BY11" s="547"/>
      <c r="BZ11" s="547"/>
      <c r="CA11" s="547"/>
      <c r="CB11" s="547"/>
      <c r="CC11" s="547"/>
      <c r="CD11" s="562"/>
      <c r="CE11" s="550"/>
      <c r="CF11" s="547"/>
      <c r="CG11" s="547"/>
      <c r="CH11" s="551"/>
      <c r="CI11" s="550"/>
      <c r="CJ11" s="551"/>
      <c r="CK11" s="558"/>
      <c r="CL11" s="547"/>
      <c r="CM11" s="547"/>
      <c r="CN11" s="551"/>
      <c r="CO11" s="558"/>
      <c r="CP11" s="547"/>
      <c r="CQ11" s="547"/>
      <c r="CR11" s="547"/>
      <c r="CS11" s="551"/>
      <c r="CT11" s="550"/>
      <c r="CU11" s="563"/>
      <c r="CV11" s="343"/>
      <c r="CW11" s="564"/>
      <c r="CX11" s="565"/>
      <c r="CY11" s="566"/>
      <c r="CZ11" s="550"/>
      <c r="DA11" s="547"/>
      <c r="DB11" s="567"/>
      <c r="DC11" s="344"/>
      <c r="DD11" s="568"/>
      <c r="DE11" s="555"/>
      <c r="DF11" s="551"/>
    </row>
    <row r="12" spans="1:154" ht="20.100000000000001" customHeight="1" thickBot="1" x14ac:dyDescent="0.25">
      <c r="A12" s="573">
        <v>2</v>
      </c>
      <c r="B12" s="545" t="s">
        <v>351</v>
      </c>
      <c r="C12" s="569">
        <v>308</v>
      </c>
      <c r="D12" s="600" t="s">
        <v>350</v>
      </c>
      <c r="E12" s="544" t="s">
        <v>498</v>
      </c>
      <c r="F12" s="570" t="s">
        <v>352</v>
      </c>
      <c r="G12" s="571" t="s">
        <v>499</v>
      </c>
      <c r="H12" s="599" t="s">
        <v>497</v>
      </c>
      <c r="I12" s="574" t="s">
        <v>501</v>
      </c>
      <c r="J12" s="546"/>
      <c r="K12" s="580" t="s">
        <v>449</v>
      </c>
      <c r="L12" s="578"/>
      <c r="M12" s="572"/>
      <c r="N12" s="548"/>
      <c r="O12" s="549"/>
      <c r="P12" s="550"/>
      <c r="Q12" s="531"/>
      <c r="R12" s="531"/>
      <c r="S12" s="547"/>
      <c r="T12" s="547"/>
      <c r="U12" s="547"/>
      <c r="V12" s="547"/>
      <c r="W12" s="547"/>
      <c r="X12" s="547"/>
      <c r="Y12" s="547"/>
      <c r="Z12" s="547"/>
      <c r="AA12" s="551"/>
      <c r="AB12" s="552"/>
      <c r="AC12" s="547"/>
      <c r="AD12" s="547"/>
      <c r="AE12" s="547"/>
      <c r="AF12" s="547"/>
      <c r="AG12" s="553"/>
      <c r="AH12" s="554" t="str">
        <f t="shared" ref="AH12:AH56" si="1">IF(ISNUMBER(AG12),1296*S12*S12/AG12/AG12,"")</f>
        <v/>
      </c>
      <c r="AI12" s="555" t="str">
        <f>IF(ISNUMBER(AH12),100*AH12/(#REF!),"")</f>
        <v/>
      </c>
      <c r="AJ12" s="553"/>
      <c r="AK12" s="547"/>
      <c r="AL12" s="547"/>
      <c r="AM12" s="556" t="s">
        <v>451</v>
      </c>
      <c r="AN12" s="557" t="s">
        <v>452</v>
      </c>
      <c r="AO12" s="553" t="s">
        <v>453</v>
      </c>
      <c r="AP12" s="547"/>
      <c r="AQ12" s="553" t="s">
        <v>454</v>
      </c>
      <c r="AR12" s="553" t="s">
        <v>453</v>
      </c>
      <c r="AS12" s="575"/>
      <c r="AT12" s="550"/>
      <c r="AU12" s="557"/>
      <c r="AV12" s="557"/>
      <c r="AW12" s="557"/>
      <c r="AX12" s="547"/>
      <c r="AY12" s="553"/>
      <c r="AZ12" s="547"/>
      <c r="BA12" s="547"/>
      <c r="BB12" s="553"/>
      <c r="BC12" s="297"/>
      <c r="BD12" s="558"/>
      <c r="BE12" s="547"/>
      <c r="BF12" s="551"/>
      <c r="BG12" s="552"/>
      <c r="BH12" s="553"/>
      <c r="BI12" s="555"/>
      <c r="BJ12" s="450"/>
      <c r="BK12" s="579"/>
      <c r="BL12" s="552"/>
      <c r="BM12" s="553"/>
      <c r="BN12" s="553">
        <v>1</v>
      </c>
      <c r="BO12" s="553"/>
      <c r="BP12" s="553"/>
      <c r="BQ12" s="576">
        <v>1</v>
      </c>
      <c r="BR12" s="559"/>
      <c r="BS12" s="550"/>
      <c r="BT12" s="560"/>
      <c r="BU12" s="561"/>
      <c r="BV12" s="577"/>
      <c r="BW12" s="550"/>
      <c r="BX12" s="547"/>
      <c r="BY12" s="547"/>
      <c r="BZ12" s="547"/>
      <c r="CA12" s="547"/>
      <c r="CB12" s="547"/>
      <c r="CC12" s="547"/>
      <c r="CD12" s="562"/>
      <c r="CE12" s="550"/>
      <c r="CF12" s="547"/>
      <c r="CG12" s="547"/>
      <c r="CH12" s="551"/>
      <c r="CI12" s="550"/>
      <c r="CJ12" s="551"/>
      <c r="CK12" s="558"/>
      <c r="CL12" s="547"/>
      <c r="CM12" s="547"/>
      <c r="CN12" s="551"/>
      <c r="CO12" s="558"/>
      <c r="CP12" s="547"/>
      <c r="CQ12" s="547"/>
      <c r="CR12" s="547"/>
      <c r="CS12" s="551"/>
      <c r="CT12" s="550"/>
      <c r="CU12" s="563"/>
      <c r="CV12" s="343"/>
      <c r="CW12" s="564"/>
      <c r="CX12" s="565"/>
      <c r="CY12" s="566"/>
      <c r="CZ12" s="550"/>
      <c r="DA12" s="547"/>
      <c r="DB12" s="567"/>
      <c r="DC12" s="344"/>
      <c r="DD12" s="568"/>
      <c r="DE12" s="555"/>
      <c r="DF12" s="551"/>
    </row>
    <row r="13" spans="1:154" ht="20.100000000000001" customHeight="1" thickBot="1" x14ac:dyDescent="0.25">
      <c r="A13" s="573">
        <v>3</v>
      </c>
      <c r="B13" s="545" t="s">
        <v>351</v>
      </c>
      <c r="C13" s="569">
        <v>308</v>
      </c>
      <c r="D13" s="600" t="s">
        <v>350</v>
      </c>
      <c r="E13" s="544" t="s">
        <v>498</v>
      </c>
      <c r="F13" s="570" t="s">
        <v>352</v>
      </c>
      <c r="G13" s="571" t="s">
        <v>499</v>
      </c>
      <c r="H13" s="599" t="s">
        <v>497</v>
      </c>
      <c r="I13" s="574" t="s">
        <v>502</v>
      </c>
      <c r="J13" s="546"/>
      <c r="K13" s="580" t="s">
        <v>455</v>
      </c>
      <c r="L13" s="578"/>
      <c r="M13" s="572"/>
      <c r="N13" s="548"/>
      <c r="O13" s="549"/>
      <c r="P13" s="550"/>
      <c r="Q13" s="531"/>
      <c r="R13" s="531"/>
      <c r="S13" s="547"/>
      <c r="T13" s="547"/>
      <c r="U13" s="547"/>
      <c r="V13" s="547"/>
      <c r="W13" s="547"/>
      <c r="X13" s="547"/>
      <c r="Y13" s="547"/>
      <c r="Z13" s="547"/>
      <c r="AA13" s="551"/>
      <c r="AB13" s="552"/>
      <c r="AC13" s="547"/>
      <c r="AD13" s="547"/>
      <c r="AE13" s="547"/>
      <c r="AF13" s="547"/>
      <c r="AG13" s="553"/>
      <c r="AH13" s="554" t="str">
        <f t="shared" si="1"/>
        <v/>
      </c>
      <c r="AI13" s="555" t="str">
        <f>IF(ISNUMBER(AH13),100*AH13/(#REF!),"")</f>
        <v/>
      </c>
      <c r="AJ13" s="553"/>
      <c r="AK13" s="547"/>
      <c r="AL13" s="547"/>
      <c r="AM13" s="556" t="s">
        <v>451</v>
      </c>
      <c r="AN13" s="557" t="s">
        <v>452</v>
      </c>
      <c r="AO13" s="553" t="s">
        <v>453</v>
      </c>
      <c r="AP13" s="547"/>
      <c r="AQ13" s="553" t="s">
        <v>454</v>
      </c>
      <c r="AR13" s="553" t="s">
        <v>453</v>
      </c>
      <c r="AS13" s="575"/>
      <c r="AT13" s="550"/>
      <c r="AU13" s="557"/>
      <c r="AV13" s="557"/>
      <c r="AW13" s="557"/>
      <c r="AX13" s="547"/>
      <c r="AY13" s="553"/>
      <c r="AZ13" s="547"/>
      <c r="BA13" s="547"/>
      <c r="BB13" s="553"/>
      <c r="BC13" s="297"/>
      <c r="BD13" s="558"/>
      <c r="BE13" s="547"/>
      <c r="BF13" s="551"/>
      <c r="BG13" s="552"/>
      <c r="BH13" s="553"/>
      <c r="BI13" s="555"/>
      <c r="BJ13" s="450"/>
      <c r="BK13" s="579"/>
      <c r="BL13" s="552"/>
      <c r="BM13" s="553"/>
      <c r="BN13" s="553">
        <v>1</v>
      </c>
      <c r="BO13" s="553"/>
      <c r="BP13" s="553"/>
      <c r="BQ13" s="576">
        <v>1</v>
      </c>
      <c r="BR13" s="559"/>
      <c r="BS13" s="550"/>
      <c r="BT13" s="560"/>
      <c r="BU13" s="561"/>
      <c r="BV13" s="577"/>
      <c r="BW13" s="550"/>
      <c r="BX13" s="547"/>
      <c r="BY13" s="547"/>
      <c r="BZ13" s="547"/>
      <c r="CA13" s="547"/>
      <c r="CB13" s="547"/>
      <c r="CC13" s="547"/>
      <c r="CD13" s="562"/>
      <c r="CE13" s="550"/>
      <c r="CF13" s="547"/>
      <c r="CG13" s="547"/>
      <c r="CH13" s="551"/>
      <c r="CI13" s="550"/>
      <c r="CJ13" s="551"/>
      <c r="CK13" s="558"/>
      <c r="CL13" s="547"/>
      <c r="CM13" s="547"/>
      <c r="CN13" s="551"/>
      <c r="CO13" s="558"/>
      <c r="CP13" s="547"/>
      <c r="CQ13" s="547"/>
      <c r="CR13" s="547"/>
      <c r="CS13" s="551"/>
      <c r="CT13" s="550"/>
      <c r="CU13" s="563"/>
      <c r="CV13" s="343"/>
      <c r="CW13" s="564"/>
      <c r="CX13" s="565"/>
      <c r="CY13" s="566"/>
      <c r="CZ13" s="550"/>
      <c r="DA13" s="547"/>
      <c r="DB13" s="567"/>
      <c r="DC13" s="344"/>
      <c r="DD13" s="568"/>
      <c r="DE13" s="555"/>
      <c r="DF13" s="551"/>
    </row>
    <row r="14" spans="1:154" ht="20.100000000000001" customHeight="1" thickBot="1" x14ac:dyDescent="0.25">
      <c r="A14" s="573">
        <v>4</v>
      </c>
      <c r="B14" s="545" t="s">
        <v>351</v>
      </c>
      <c r="C14" s="569">
        <v>308</v>
      </c>
      <c r="D14" s="600" t="s">
        <v>350</v>
      </c>
      <c r="E14" s="544" t="s">
        <v>498</v>
      </c>
      <c r="F14" s="570" t="s">
        <v>352</v>
      </c>
      <c r="G14" s="571" t="s">
        <v>499</v>
      </c>
      <c r="H14" s="599" t="s">
        <v>497</v>
      </c>
      <c r="I14" s="574" t="s">
        <v>503</v>
      </c>
      <c r="J14" s="546"/>
      <c r="K14" s="580" t="s">
        <v>456</v>
      </c>
      <c r="L14" s="578"/>
      <c r="M14" s="572"/>
      <c r="N14" s="548"/>
      <c r="O14" s="549"/>
      <c r="P14" s="550"/>
      <c r="Q14" s="531"/>
      <c r="R14" s="531"/>
      <c r="S14" s="547"/>
      <c r="T14" s="547"/>
      <c r="U14" s="547"/>
      <c r="V14" s="547"/>
      <c r="W14" s="547"/>
      <c r="X14" s="547"/>
      <c r="Y14" s="547"/>
      <c r="Z14" s="547"/>
      <c r="AA14" s="551"/>
      <c r="AB14" s="552"/>
      <c r="AC14" s="547"/>
      <c r="AD14" s="547"/>
      <c r="AE14" s="547"/>
      <c r="AF14" s="547"/>
      <c r="AG14" s="553"/>
      <c r="AH14" s="554" t="str">
        <f t="shared" si="1"/>
        <v/>
      </c>
      <c r="AI14" s="555" t="str">
        <f>IF(ISNUMBER(AH14),100*AH14/(#REF!),"")</f>
        <v/>
      </c>
      <c r="AJ14" s="553"/>
      <c r="AK14" s="547"/>
      <c r="AL14" s="547"/>
      <c r="AM14" s="556" t="s">
        <v>457</v>
      </c>
      <c r="AN14" s="557" t="s">
        <v>452</v>
      </c>
      <c r="AO14" s="553" t="s">
        <v>458</v>
      </c>
      <c r="AP14" s="547" t="s">
        <v>459</v>
      </c>
      <c r="AQ14" s="553" t="s">
        <v>460</v>
      </c>
      <c r="AR14" s="553" t="s">
        <v>458</v>
      </c>
      <c r="AS14" s="575"/>
      <c r="AT14" s="550"/>
      <c r="AU14" s="557"/>
      <c r="AV14" s="557"/>
      <c r="AW14" s="557"/>
      <c r="AX14" s="547"/>
      <c r="AY14" s="553"/>
      <c r="AZ14" s="547"/>
      <c r="BA14" s="547"/>
      <c r="BB14" s="553"/>
      <c r="BC14" s="297"/>
      <c r="BD14" s="558"/>
      <c r="BE14" s="547"/>
      <c r="BF14" s="551"/>
      <c r="BG14" s="552"/>
      <c r="BH14" s="553"/>
      <c r="BI14" s="555"/>
      <c r="BJ14" s="450"/>
      <c r="BK14" s="579"/>
      <c r="BL14" s="552"/>
      <c r="BM14" s="553"/>
      <c r="BN14" s="553"/>
      <c r="BO14" s="553"/>
      <c r="BP14" s="553"/>
      <c r="BQ14" s="576">
        <v>1</v>
      </c>
      <c r="BR14" s="559"/>
      <c r="BS14" s="550"/>
      <c r="BT14" s="560"/>
      <c r="BU14" s="561"/>
      <c r="BV14" s="577"/>
      <c r="BW14" s="550"/>
      <c r="BX14" s="547"/>
      <c r="BY14" s="547"/>
      <c r="BZ14" s="547"/>
      <c r="CA14" s="547"/>
      <c r="CB14" s="547"/>
      <c r="CC14" s="547"/>
      <c r="CD14" s="562"/>
      <c r="CE14" s="550"/>
      <c r="CF14" s="547"/>
      <c r="CG14" s="547"/>
      <c r="CH14" s="551"/>
      <c r="CI14" s="550"/>
      <c r="CJ14" s="551"/>
      <c r="CK14" s="558"/>
      <c r="CL14" s="547"/>
      <c r="CM14" s="547"/>
      <c r="CN14" s="551"/>
      <c r="CO14" s="558"/>
      <c r="CP14" s="547"/>
      <c r="CQ14" s="547"/>
      <c r="CR14" s="547"/>
      <c r="CS14" s="551"/>
      <c r="CT14" s="550"/>
      <c r="CU14" s="563"/>
      <c r="CV14" s="343"/>
      <c r="CW14" s="564"/>
      <c r="CX14" s="565"/>
      <c r="CY14" s="566"/>
      <c r="CZ14" s="550"/>
      <c r="DA14" s="547"/>
      <c r="DB14" s="567"/>
      <c r="DC14" s="344"/>
      <c r="DD14" s="568"/>
      <c r="DE14" s="555"/>
      <c r="DF14" s="551"/>
    </row>
    <row r="15" spans="1:154" ht="20.100000000000001" customHeight="1" thickBot="1" x14ac:dyDescent="0.25">
      <c r="A15" s="573">
        <v>5</v>
      </c>
      <c r="B15" s="545" t="s">
        <v>351</v>
      </c>
      <c r="C15" s="569">
        <v>308</v>
      </c>
      <c r="D15" s="600" t="s">
        <v>350</v>
      </c>
      <c r="E15" s="544" t="s">
        <v>498</v>
      </c>
      <c r="F15" s="570" t="s">
        <v>352</v>
      </c>
      <c r="G15" s="571" t="s">
        <v>499</v>
      </c>
      <c r="H15" s="599" t="s">
        <v>497</v>
      </c>
      <c r="I15" s="574" t="s">
        <v>504</v>
      </c>
      <c r="J15" s="546"/>
      <c r="K15" s="580" t="s">
        <v>461</v>
      </c>
      <c r="L15" s="578"/>
      <c r="M15" s="572"/>
      <c r="N15" s="548"/>
      <c r="O15" s="549"/>
      <c r="P15" s="550"/>
      <c r="Q15" s="531"/>
      <c r="R15" s="531"/>
      <c r="S15" s="547"/>
      <c r="T15" s="547"/>
      <c r="U15" s="547"/>
      <c r="V15" s="547"/>
      <c r="W15" s="547"/>
      <c r="X15" s="547"/>
      <c r="Y15" s="547"/>
      <c r="Z15" s="547"/>
      <c r="AA15" s="551"/>
      <c r="AB15" s="552"/>
      <c r="AC15" s="547"/>
      <c r="AD15" s="547"/>
      <c r="AE15" s="547"/>
      <c r="AF15" s="547"/>
      <c r="AG15" s="553"/>
      <c r="AH15" s="554" t="str">
        <f t="shared" si="1"/>
        <v/>
      </c>
      <c r="AI15" s="555" t="str">
        <f>IF(ISNUMBER(AH15),100*AH15/(#REF!),"")</f>
        <v/>
      </c>
      <c r="AJ15" s="553"/>
      <c r="AK15" s="547"/>
      <c r="AL15" s="547"/>
      <c r="AM15" s="556" t="s">
        <v>457</v>
      </c>
      <c r="AN15" s="557" t="s">
        <v>452</v>
      </c>
      <c r="AO15" s="553" t="s">
        <v>458</v>
      </c>
      <c r="AP15" s="547" t="s">
        <v>459</v>
      </c>
      <c r="AQ15" s="553" t="s">
        <v>460</v>
      </c>
      <c r="AR15" s="553" t="s">
        <v>458</v>
      </c>
      <c r="AS15" s="575"/>
      <c r="AT15" s="550"/>
      <c r="AU15" s="557"/>
      <c r="AV15" s="557"/>
      <c r="AW15" s="557"/>
      <c r="AX15" s="547"/>
      <c r="AY15" s="553"/>
      <c r="AZ15" s="547"/>
      <c r="BA15" s="547"/>
      <c r="BB15" s="553"/>
      <c r="BC15" s="297"/>
      <c r="BD15" s="558"/>
      <c r="BE15" s="547"/>
      <c r="BF15" s="551"/>
      <c r="BG15" s="552"/>
      <c r="BH15" s="553"/>
      <c r="BI15" s="555"/>
      <c r="BJ15" s="450"/>
      <c r="BK15" s="579"/>
      <c r="BL15" s="552"/>
      <c r="BM15" s="553"/>
      <c r="BN15" s="553"/>
      <c r="BO15" s="553"/>
      <c r="BP15" s="553"/>
      <c r="BQ15" s="576">
        <v>1</v>
      </c>
      <c r="BR15" s="559"/>
      <c r="BS15" s="550"/>
      <c r="BT15" s="560"/>
      <c r="BU15" s="561"/>
      <c r="BV15" s="577"/>
      <c r="BW15" s="550"/>
      <c r="BX15" s="547"/>
      <c r="BY15" s="547"/>
      <c r="BZ15" s="547"/>
      <c r="CA15" s="547"/>
      <c r="CB15" s="547"/>
      <c r="CC15" s="547"/>
      <c r="CD15" s="562"/>
      <c r="CE15" s="550"/>
      <c r="CF15" s="547"/>
      <c r="CG15" s="547"/>
      <c r="CH15" s="551"/>
      <c r="CI15" s="550"/>
      <c r="CJ15" s="551"/>
      <c r="CK15" s="558"/>
      <c r="CL15" s="547"/>
      <c r="CM15" s="547"/>
      <c r="CN15" s="551"/>
      <c r="CO15" s="558"/>
      <c r="CP15" s="547"/>
      <c r="CQ15" s="547"/>
      <c r="CR15" s="547"/>
      <c r="CS15" s="551"/>
      <c r="CT15" s="550"/>
      <c r="CU15" s="563"/>
      <c r="CV15" s="343"/>
      <c r="CW15" s="564"/>
      <c r="CX15" s="565"/>
      <c r="CY15" s="566"/>
      <c r="CZ15" s="550"/>
      <c r="DA15" s="547"/>
      <c r="DB15" s="567"/>
      <c r="DC15" s="344"/>
      <c r="DD15" s="568"/>
      <c r="DE15" s="555"/>
      <c r="DF15" s="551"/>
    </row>
    <row r="16" spans="1:154" ht="20.100000000000001" customHeight="1" thickBot="1" x14ac:dyDescent="0.25">
      <c r="A16" s="573">
        <v>6</v>
      </c>
      <c r="B16" s="545" t="s">
        <v>351</v>
      </c>
      <c r="C16" s="569">
        <v>308</v>
      </c>
      <c r="D16" s="600" t="s">
        <v>350</v>
      </c>
      <c r="E16" s="544" t="s">
        <v>498</v>
      </c>
      <c r="F16" s="570" t="s">
        <v>352</v>
      </c>
      <c r="G16" s="571" t="s">
        <v>499</v>
      </c>
      <c r="H16" s="599" t="s">
        <v>497</v>
      </c>
      <c r="I16" s="574" t="s">
        <v>505</v>
      </c>
      <c r="J16" s="546"/>
      <c r="K16" s="580" t="s">
        <v>462</v>
      </c>
      <c r="L16" s="578"/>
      <c r="M16" s="572"/>
      <c r="N16" s="548"/>
      <c r="O16" s="549"/>
      <c r="P16" s="550"/>
      <c r="Q16" s="531"/>
      <c r="R16" s="531"/>
      <c r="S16" s="547"/>
      <c r="T16" s="547"/>
      <c r="U16" s="547"/>
      <c r="V16" s="547"/>
      <c r="W16" s="547"/>
      <c r="X16" s="547"/>
      <c r="Y16" s="547"/>
      <c r="Z16" s="547"/>
      <c r="AA16" s="551"/>
      <c r="AB16" s="552"/>
      <c r="AC16" s="547"/>
      <c r="AD16" s="547"/>
      <c r="AE16" s="547"/>
      <c r="AF16" s="547"/>
      <c r="AG16" s="553"/>
      <c r="AH16" s="554" t="str">
        <f t="shared" si="1"/>
        <v/>
      </c>
      <c r="AI16" s="555" t="str">
        <f>IF(ISNUMBER(AH16),100*AH16/(#REF!),"")</f>
        <v/>
      </c>
      <c r="AJ16" s="553"/>
      <c r="AK16" s="547"/>
      <c r="AL16" s="547"/>
      <c r="AM16" s="556" t="s">
        <v>451</v>
      </c>
      <c r="AN16" s="557" t="s">
        <v>452</v>
      </c>
      <c r="AO16" s="553" t="s">
        <v>453</v>
      </c>
      <c r="AP16" s="547"/>
      <c r="AQ16" s="553" t="s">
        <v>454</v>
      </c>
      <c r="AR16" s="553" t="s">
        <v>453</v>
      </c>
      <c r="AS16" s="575"/>
      <c r="AT16" s="550"/>
      <c r="AU16" s="557"/>
      <c r="AV16" s="557"/>
      <c r="AW16" s="557"/>
      <c r="AX16" s="547"/>
      <c r="AY16" s="553"/>
      <c r="AZ16" s="547"/>
      <c r="BA16" s="547"/>
      <c r="BB16" s="553"/>
      <c r="BC16" s="297"/>
      <c r="BD16" s="558"/>
      <c r="BE16" s="547"/>
      <c r="BF16" s="551"/>
      <c r="BG16" s="552"/>
      <c r="BH16" s="553"/>
      <c r="BI16" s="555"/>
      <c r="BJ16" s="450"/>
      <c r="BK16" s="579"/>
      <c r="BL16" s="552"/>
      <c r="BM16" s="553"/>
      <c r="BN16" s="553"/>
      <c r="BO16" s="553"/>
      <c r="BP16" s="553"/>
      <c r="BQ16" s="576">
        <v>1</v>
      </c>
      <c r="BR16" s="559"/>
      <c r="BS16" s="550"/>
      <c r="BT16" s="560"/>
      <c r="BU16" s="561"/>
      <c r="BV16" s="577"/>
      <c r="BW16" s="550"/>
      <c r="BX16" s="547"/>
      <c r="BY16" s="547"/>
      <c r="BZ16" s="547"/>
      <c r="CA16" s="547"/>
      <c r="CB16" s="547"/>
      <c r="CC16" s="547"/>
      <c r="CD16" s="562"/>
      <c r="CE16" s="550"/>
      <c r="CF16" s="547"/>
      <c r="CG16" s="547"/>
      <c r="CH16" s="551"/>
      <c r="CI16" s="550"/>
      <c r="CJ16" s="551"/>
      <c r="CK16" s="558"/>
      <c r="CL16" s="547"/>
      <c r="CM16" s="547"/>
      <c r="CN16" s="551"/>
      <c r="CO16" s="558"/>
      <c r="CP16" s="547"/>
      <c r="CQ16" s="547"/>
      <c r="CR16" s="547"/>
      <c r="CS16" s="551"/>
      <c r="CT16" s="550"/>
      <c r="CU16" s="563"/>
      <c r="CV16" s="343"/>
      <c r="CW16" s="564"/>
      <c r="CX16" s="565"/>
      <c r="CY16" s="566"/>
      <c r="CZ16" s="550"/>
      <c r="DA16" s="547"/>
      <c r="DB16" s="567"/>
      <c r="DC16" s="344"/>
      <c r="DD16" s="568"/>
      <c r="DE16" s="555"/>
      <c r="DF16" s="551"/>
    </row>
    <row r="17" spans="1:110" ht="20.100000000000001" customHeight="1" thickBot="1" x14ac:dyDescent="0.25">
      <c r="A17" s="573">
        <v>7</v>
      </c>
      <c r="B17" s="545" t="s">
        <v>351</v>
      </c>
      <c r="C17" s="569">
        <v>308</v>
      </c>
      <c r="D17" s="600" t="s">
        <v>350</v>
      </c>
      <c r="E17" s="544" t="s">
        <v>498</v>
      </c>
      <c r="F17" s="570" t="s">
        <v>352</v>
      </c>
      <c r="G17" s="571" t="s">
        <v>499</v>
      </c>
      <c r="H17" s="599" t="s">
        <v>497</v>
      </c>
      <c r="I17" s="574" t="s">
        <v>506</v>
      </c>
      <c r="J17" s="546"/>
      <c r="K17" s="580" t="s">
        <v>445</v>
      </c>
      <c r="L17" s="578"/>
      <c r="M17" s="572"/>
      <c r="N17" s="548"/>
      <c r="O17" s="549"/>
      <c r="P17" s="550"/>
      <c r="Q17" s="531"/>
      <c r="R17" s="531"/>
      <c r="S17" s="547"/>
      <c r="T17" s="547"/>
      <c r="U17" s="547"/>
      <c r="V17" s="547"/>
      <c r="W17" s="547"/>
      <c r="X17" s="547"/>
      <c r="Y17" s="547"/>
      <c r="Z17" s="547"/>
      <c r="AA17" s="551"/>
      <c r="AB17" s="552"/>
      <c r="AC17" s="547"/>
      <c r="AD17" s="547"/>
      <c r="AE17" s="547"/>
      <c r="AF17" s="547"/>
      <c r="AG17" s="553"/>
      <c r="AH17" s="554" t="str">
        <f t="shared" si="1"/>
        <v/>
      </c>
      <c r="AI17" s="555" t="str">
        <f>IF(ISNUMBER(AH17),100*AH17/(#REF!),"")</f>
        <v/>
      </c>
      <c r="AJ17" s="553">
        <v>250</v>
      </c>
      <c r="AK17" s="547"/>
      <c r="AL17" s="547"/>
      <c r="AM17" s="556"/>
      <c r="AN17" s="557"/>
      <c r="AO17" s="553" t="s">
        <v>446</v>
      </c>
      <c r="AP17" s="547" t="s">
        <v>447</v>
      </c>
      <c r="AQ17" s="553" t="s">
        <v>448</v>
      </c>
      <c r="AR17" s="553" t="s">
        <v>446</v>
      </c>
      <c r="AS17" s="575"/>
      <c r="AT17" s="550"/>
      <c r="AU17" s="557" t="s">
        <v>463</v>
      </c>
      <c r="AV17" s="557"/>
      <c r="AW17" s="557"/>
      <c r="AX17" s="547"/>
      <c r="AY17" s="553"/>
      <c r="AZ17" s="547"/>
      <c r="BA17" s="547"/>
      <c r="BB17" s="553"/>
      <c r="BC17" s="297"/>
      <c r="BD17" s="558"/>
      <c r="BE17" s="547"/>
      <c r="BF17" s="551"/>
      <c r="BG17" s="552"/>
      <c r="BH17" s="553"/>
      <c r="BI17" s="555"/>
      <c r="BJ17" s="450"/>
      <c r="BK17" s="579"/>
      <c r="BL17" s="552">
        <v>2</v>
      </c>
      <c r="BM17" s="553"/>
      <c r="BN17" s="553"/>
      <c r="BO17" s="553"/>
      <c r="BP17" s="553">
        <v>1</v>
      </c>
      <c r="BQ17" s="576"/>
      <c r="BR17" s="559"/>
      <c r="BS17" s="550"/>
      <c r="BT17" s="560"/>
      <c r="BU17" s="561"/>
      <c r="BV17" s="577"/>
      <c r="BW17" s="550"/>
      <c r="BX17" s="547"/>
      <c r="BY17" s="547"/>
      <c r="BZ17" s="547"/>
      <c r="CA17" s="547"/>
      <c r="CB17" s="547"/>
      <c r="CC17" s="547"/>
      <c r="CD17" s="562"/>
      <c r="CE17" s="550"/>
      <c r="CF17" s="547"/>
      <c r="CG17" s="547"/>
      <c r="CH17" s="551"/>
      <c r="CI17" s="550"/>
      <c r="CJ17" s="551"/>
      <c r="CK17" s="558"/>
      <c r="CL17" s="547"/>
      <c r="CM17" s="547"/>
      <c r="CN17" s="551"/>
      <c r="CO17" s="558"/>
      <c r="CP17" s="547"/>
      <c r="CQ17" s="547"/>
      <c r="CR17" s="547"/>
      <c r="CS17" s="551"/>
      <c r="CT17" s="550"/>
      <c r="CU17" s="563"/>
      <c r="CV17" s="343"/>
      <c r="CW17" s="564"/>
      <c r="CX17" s="565"/>
      <c r="CY17" s="566"/>
      <c r="CZ17" s="550"/>
      <c r="DA17" s="547"/>
      <c r="DB17" s="567"/>
      <c r="DC17" s="344"/>
      <c r="DD17" s="568"/>
      <c r="DE17" s="555"/>
      <c r="DF17" s="551"/>
    </row>
    <row r="18" spans="1:110" ht="20.100000000000001" customHeight="1" thickBot="1" x14ac:dyDescent="0.25">
      <c r="A18" s="573">
        <v>8</v>
      </c>
      <c r="B18" s="545" t="s">
        <v>351</v>
      </c>
      <c r="C18" s="569">
        <v>308</v>
      </c>
      <c r="D18" s="600" t="s">
        <v>350</v>
      </c>
      <c r="E18" s="544" t="s">
        <v>498</v>
      </c>
      <c r="F18" s="570" t="s">
        <v>352</v>
      </c>
      <c r="G18" s="571" t="s">
        <v>499</v>
      </c>
      <c r="H18" s="599" t="s">
        <v>497</v>
      </c>
      <c r="I18" s="574" t="s">
        <v>507</v>
      </c>
      <c r="J18" s="546"/>
      <c r="K18" s="580" t="s">
        <v>445</v>
      </c>
      <c r="L18" s="578"/>
      <c r="M18" s="572"/>
      <c r="N18" s="548"/>
      <c r="O18" s="549"/>
      <c r="P18" s="550"/>
      <c r="Q18" s="531"/>
      <c r="R18" s="531"/>
      <c r="S18" s="547"/>
      <c r="T18" s="547"/>
      <c r="U18" s="547"/>
      <c r="V18" s="547"/>
      <c r="W18" s="547"/>
      <c r="X18" s="547"/>
      <c r="Y18" s="547"/>
      <c r="Z18" s="547"/>
      <c r="AA18" s="551"/>
      <c r="AB18" s="552"/>
      <c r="AC18" s="547"/>
      <c r="AD18" s="547"/>
      <c r="AE18" s="547"/>
      <c r="AF18" s="547"/>
      <c r="AG18" s="553"/>
      <c r="AH18" s="554" t="str">
        <f t="shared" si="1"/>
        <v/>
      </c>
      <c r="AI18" s="555" t="str">
        <f>IF(ISNUMBER(AH18),100*AH18/(#REF!),"")</f>
        <v/>
      </c>
      <c r="AJ18" s="553">
        <v>250</v>
      </c>
      <c r="AK18" s="547"/>
      <c r="AL18" s="547"/>
      <c r="AM18" s="556"/>
      <c r="AN18" s="557"/>
      <c r="AO18" s="553" t="s">
        <v>446</v>
      </c>
      <c r="AP18" s="547" t="s">
        <v>447</v>
      </c>
      <c r="AQ18" s="553" t="s">
        <v>448</v>
      </c>
      <c r="AR18" s="553" t="s">
        <v>446</v>
      </c>
      <c r="AS18" s="575"/>
      <c r="AT18" s="550"/>
      <c r="AU18" s="557" t="s">
        <v>463</v>
      </c>
      <c r="AV18" s="557"/>
      <c r="AW18" s="557"/>
      <c r="AX18" s="547"/>
      <c r="AY18" s="553"/>
      <c r="AZ18" s="547"/>
      <c r="BA18" s="547"/>
      <c r="BB18" s="553"/>
      <c r="BC18" s="297"/>
      <c r="BD18" s="558"/>
      <c r="BE18" s="547"/>
      <c r="BF18" s="551"/>
      <c r="BG18" s="552"/>
      <c r="BH18" s="553"/>
      <c r="BI18" s="555"/>
      <c r="BJ18" s="450"/>
      <c r="BK18" s="579"/>
      <c r="BL18" s="552">
        <v>2</v>
      </c>
      <c r="BM18" s="553"/>
      <c r="BN18" s="553"/>
      <c r="BO18" s="553"/>
      <c r="BP18" s="553">
        <v>1</v>
      </c>
      <c r="BQ18" s="576"/>
      <c r="BR18" s="559"/>
      <c r="BS18" s="550"/>
      <c r="BT18" s="560"/>
      <c r="BU18" s="561"/>
      <c r="BV18" s="577"/>
      <c r="BW18" s="550"/>
      <c r="BX18" s="547"/>
      <c r="BY18" s="547"/>
      <c r="BZ18" s="547"/>
      <c r="CA18" s="547"/>
      <c r="CB18" s="547"/>
      <c r="CC18" s="547"/>
      <c r="CD18" s="562"/>
      <c r="CE18" s="550"/>
      <c r="CF18" s="547"/>
      <c r="CG18" s="547"/>
      <c r="CH18" s="551"/>
      <c r="CI18" s="550"/>
      <c r="CJ18" s="551"/>
      <c r="CK18" s="558"/>
      <c r="CL18" s="547"/>
      <c r="CM18" s="547"/>
      <c r="CN18" s="551"/>
      <c r="CO18" s="558"/>
      <c r="CP18" s="547"/>
      <c r="CQ18" s="547"/>
      <c r="CR18" s="547"/>
      <c r="CS18" s="551"/>
      <c r="CT18" s="550"/>
      <c r="CU18" s="563"/>
      <c r="CV18" s="343"/>
      <c r="CW18" s="564"/>
      <c r="CX18" s="565"/>
      <c r="CY18" s="566"/>
      <c r="CZ18" s="550"/>
      <c r="DA18" s="547"/>
      <c r="DB18" s="567"/>
      <c r="DC18" s="344"/>
      <c r="DD18" s="568"/>
      <c r="DE18" s="555"/>
      <c r="DF18" s="551"/>
    </row>
    <row r="19" spans="1:110" ht="20.100000000000001" customHeight="1" thickBot="1" x14ac:dyDescent="0.25">
      <c r="A19" s="573">
        <v>9</v>
      </c>
      <c r="B19" s="545" t="s">
        <v>351</v>
      </c>
      <c r="C19" s="569">
        <v>308</v>
      </c>
      <c r="D19" s="600" t="s">
        <v>350</v>
      </c>
      <c r="E19" s="544" t="s">
        <v>498</v>
      </c>
      <c r="F19" s="570" t="s">
        <v>352</v>
      </c>
      <c r="G19" s="571" t="s">
        <v>499</v>
      </c>
      <c r="H19" s="599" t="s">
        <v>497</v>
      </c>
      <c r="I19" s="574" t="s">
        <v>508</v>
      </c>
      <c r="J19" s="546"/>
      <c r="K19" s="580" t="s">
        <v>445</v>
      </c>
      <c r="L19" s="578"/>
      <c r="M19" s="572"/>
      <c r="N19" s="548"/>
      <c r="O19" s="549"/>
      <c r="P19" s="550"/>
      <c r="Q19" s="531"/>
      <c r="R19" s="531"/>
      <c r="S19" s="547"/>
      <c r="T19" s="547"/>
      <c r="U19" s="547"/>
      <c r="V19" s="547"/>
      <c r="W19" s="547"/>
      <c r="X19" s="547"/>
      <c r="Y19" s="547"/>
      <c r="Z19" s="547"/>
      <c r="AA19" s="551"/>
      <c r="AB19" s="552"/>
      <c r="AC19" s="547"/>
      <c r="AD19" s="547"/>
      <c r="AE19" s="547"/>
      <c r="AF19" s="547"/>
      <c r="AG19" s="553"/>
      <c r="AH19" s="554" t="str">
        <f t="shared" si="1"/>
        <v/>
      </c>
      <c r="AI19" s="555" t="str">
        <f>IF(ISNUMBER(AH19),100*AH19/(#REF!),"")</f>
        <v/>
      </c>
      <c r="AJ19" s="553">
        <v>250</v>
      </c>
      <c r="AK19" s="547"/>
      <c r="AL19" s="547"/>
      <c r="AM19" s="556"/>
      <c r="AN19" s="557"/>
      <c r="AO19" s="553" t="s">
        <v>446</v>
      </c>
      <c r="AP19" s="547" t="s">
        <v>447</v>
      </c>
      <c r="AQ19" s="553" t="s">
        <v>448</v>
      </c>
      <c r="AR19" s="553" t="s">
        <v>446</v>
      </c>
      <c r="AS19" s="575"/>
      <c r="AT19" s="550"/>
      <c r="AU19" s="557" t="s">
        <v>463</v>
      </c>
      <c r="AV19" s="557"/>
      <c r="AW19" s="557"/>
      <c r="AX19" s="547"/>
      <c r="AY19" s="553"/>
      <c r="AZ19" s="547"/>
      <c r="BA19" s="547"/>
      <c r="BB19" s="553"/>
      <c r="BC19" s="297"/>
      <c r="BD19" s="558"/>
      <c r="BE19" s="547"/>
      <c r="BF19" s="551"/>
      <c r="BG19" s="552"/>
      <c r="BH19" s="553"/>
      <c r="BI19" s="555"/>
      <c r="BJ19" s="450"/>
      <c r="BK19" s="579"/>
      <c r="BL19" s="552">
        <v>2</v>
      </c>
      <c r="BM19" s="553"/>
      <c r="BN19" s="553"/>
      <c r="BO19" s="553"/>
      <c r="BP19" s="553">
        <v>1</v>
      </c>
      <c r="BQ19" s="576"/>
      <c r="BR19" s="559"/>
      <c r="BS19" s="550"/>
      <c r="BT19" s="560"/>
      <c r="BU19" s="561"/>
      <c r="BV19" s="577"/>
      <c r="BW19" s="550"/>
      <c r="BX19" s="547"/>
      <c r="BY19" s="547"/>
      <c r="BZ19" s="547"/>
      <c r="CA19" s="547"/>
      <c r="CB19" s="547"/>
      <c r="CC19" s="547"/>
      <c r="CD19" s="562"/>
      <c r="CE19" s="550"/>
      <c r="CF19" s="547"/>
      <c r="CG19" s="547"/>
      <c r="CH19" s="551"/>
      <c r="CI19" s="550"/>
      <c r="CJ19" s="551"/>
      <c r="CK19" s="558"/>
      <c r="CL19" s="547"/>
      <c r="CM19" s="547"/>
      <c r="CN19" s="551"/>
      <c r="CO19" s="558"/>
      <c r="CP19" s="547"/>
      <c r="CQ19" s="547"/>
      <c r="CR19" s="547"/>
      <c r="CS19" s="551"/>
      <c r="CT19" s="550"/>
      <c r="CU19" s="563"/>
      <c r="CV19" s="343"/>
      <c r="CW19" s="564"/>
      <c r="CX19" s="565"/>
      <c r="CY19" s="566"/>
      <c r="CZ19" s="550"/>
      <c r="DA19" s="547"/>
      <c r="DB19" s="567"/>
      <c r="DC19" s="344"/>
      <c r="DD19" s="568"/>
      <c r="DE19" s="555"/>
      <c r="DF19" s="551"/>
    </row>
    <row r="20" spans="1:110" ht="20.100000000000001" customHeight="1" thickBot="1" x14ac:dyDescent="0.25">
      <c r="A20" s="573">
        <v>10</v>
      </c>
      <c r="B20" s="545" t="s">
        <v>351</v>
      </c>
      <c r="C20" s="569">
        <v>308</v>
      </c>
      <c r="D20" s="600" t="s">
        <v>350</v>
      </c>
      <c r="E20" s="544" t="s">
        <v>498</v>
      </c>
      <c r="F20" s="570" t="s">
        <v>352</v>
      </c>
      <c r="G20" s="571" t="s">
        <v>499</v>
      </c>
      <c r="H20" s="599" t="s">
        <v>497</v>
      </c>
      <c r="I20" s="574" t="s">
        <v>509</v>
      </c>
      <c r="J20" s="546"/>
      <c r="K20" s="580" t="s">
        <v>445</v>
      </c>
      <c r="L20" s="578"/>
      <c r="M20" s="572"/>
      <c r="N20" s="548"/>
      <c r="O20" s="549"/>
      <c r="P20" s="550"/>
      <c r="Q20" s="531"/>
      <c r="R20" s="531"/>
      <c r="S20" s="547"/>
      <c r="T20" s="547"/>
      <c r="U20" s="547"/>
      <c r="V20" s="547"/>
      <c r="W20" s="547"/>
      <c r="X20" s="547"/>
      <c r="Y20" s="547"/>
      <c r="Z20" s="547"/>
      <c r="AA20" s="551"/>
      <c r="AB20" s="552"/>
      <c r="AC20" s="547"/>
      <c r="AD20" s="547"/>
      <c r="AE20" s="547"/>
      <c r="AF20" s="547"/>
      <c r="AG20" s="553"/>
      <c r="AH20" s="554" t="str">
        <f t="shared" si="1"/>
        <v/>
      </c>
      <c r="AI20" s="555" t="str">
        <f>IF(ISNUMBER(AH20),100*AH20/(#REF!),"")</f>
        <v/>
      </c>
      <c r="AJ20" s="553">
        <v>250</v>
      </c>
      <c r="AK20" s="547"/>
      <c r="AL20" s="547"/>
      <c r="AM20" s="556"/>
      <c r="AN20" s="557"/>
      <c r="AO20" s="553" t="s">
        <v>446</v>
      </c>
      <c r="AP20" s="547" t="s">
        <v>447</v>
      </c>
      <c r="AQ20" s="553" t="s">
        <v>448</v>
      </c>
      <c r="AR20" s="553" t="s">
        <v>446</v>
      </c>
      <c r="AS20" s="575"/>
      <c r="AT20" s="550"/>
      <c r="AU20" s="557" t="s">
        <v>463</v>
      </c>
      <c r="AV20" s="557"/>
      <c r="AW20" s="557"/>
      <c r="AX20" s="547"/>
      <c r="AY20" s="553"/>
      <c r="AZ20" s="547"/>
      <c r="BA20" s="547"/>
      <c r="BB20" s="553"/>
      <c r="BC20" s="297"/>
      <c r="BD20" s="558"/>
      <c r="BE20" s="547"/>
      <c r="BF20" s="551"/>
      <c r="BG20" s="552"/>
      <c r="BH20" s="553"/>
      <c r="BI20" s="555"/>
      <c r="BJ20" s="450"/>
      <c r="BK20" s="579"/>
      <c r="BL20" s="552">
        <v>2</v>
      </c>
      <c r="BM20" s="553"/>
      <c r="BN20" s="553"/>
      <c r="BO20" s="553"/>
      <c r="BP20" s="553">
        <v>1</v>
      </c>
      <c r="BQ20" s="576"/>
      <c r="BR20" s="559"/>
      <c r="BS20" s="550"/>
      <c r="BT20" s="560"/>
      <c r="BU20" s="561"/>
      <c r="BV20" s="577"/>
      <c r="BW20" s="550"/>
      <c r="BX20" s="547"/>
      <c r="BY20" s="547"/>
      <c r="BZ20" s="547"/>
      <c r="CA20" s="547"/>
      <c r="CB20" s="547"/>
      <c r="CC20" s="547"/>
      <c r="CD20" s="562"/>
      <c r="CE20" s="550"/>
      <c r="CF20" s="547"/>
      <c r="CG20" s="547"/>
      <c r="CH20" s="551"/>
      <c r="CI20" s="550"/>
      <c r="CJ20" s="551"/>
      <c r="CK20" s="558"/>
      <c r="CL20" s="547"/>
      <c r="CM20" s="547"/>
      <c r="CN20" s="551"/>
      <c r="CO20" s="558"/>
      <c r="CP20" s="547"/>
      <c r="CQ20" s="547"/>
      <c r="CR20" s="547"/>
      <c r="CS20" s="551"/>
      <c r="CT20" s="550"/>
      <c r="CU20" s="563"/>
      <c r="CV20" s="343"/>
      <c r="CW20" s="564"/>
      <c r="CX20" s="565"/>
      <c r="CY20" s="566"/>
      <c r="CZ20" s="550"/>
      <c r="DA20" s="547"/>
      <c r="DB20" s="567"/>
      <c r="DC20" s="344"/>
      <c r="DD20" s="568"/>
      <c r="DE20" s="555"/>
      <c r="DF20" s="551"/>
    </row>
    <row r="21" spans="1:110" ht="20.100000000000001" customHeight="1" thickBot="1" x14ac:dyDescent="0.25">
      <c r="A21" s="573">
        <v>11</v>
      </c>
      <c r="B21" s="545" t="s">
        <v>351</v>
      </c>
      <c r="C21" s="569">
        <v>308</v>
      </c>
      <c r="D21" s="600" t="s">
        <v>350</v>
      </c>
      <c r="E21" s="544" t="s">
        <v>498</v>
      </c>
      <c r="F21" s="570" t="s">
        <v>352</v>
      </c>
      <c r="G21" s="571" t="s">
        <v>499</v>
      </c>
      <c r="H21" s="599" t="s">
        <v>497</v>
      </c>
      <c r="I21" s="574" t="s">
        <v>510</v>
      </c>
      <c r="J21" s="546"/>
      <c r="K21" s="580" t="s">
        <v>464</v>
      </c>
      <c r="L21" s="578"/>
      <c r="M21" s="572"/>
      <c r="N21" s="548"/>
      <c r="O21" s="549"/>
      <c r="P21" s="550"/>
      <c r="Q21" s="531"/>
      <c r="R21" s="531"/>
      <c r="S21" s="547"/>
      <c r="T21" s="547"/>
      <c r="U21" s="547"/>
      <c r="V21" s="547"/>
      <c r="W21" s="547"/>
      <c r="X21" s="547"/>
      <c r="Y21" s="547"/>
      <c r="Z21" s="547"/>
      <c r="AA21" s="551"/>
      <c r="AB21" s="552"/>
      <c r="AC21" s="547"/>
      <c r="AD21" s="547"/>
      <c r="AE21" s="547"/>
      <c r="AF21" s="547"/>
      <c r="AG21" s="553"/>
      <c r="AH21" s="554" t="str">
        <f t="shared" si="1"/>
        <v/>
      </c>
      <c r="AI21" s="555" t="str">
        <f>IF(ISNUMBER(AH21),100*AH21/(#REF!),"")</f>
        <v/>
      </c>
      <c r="AJ21" s="553">
        <v>250</v>
      </c>
      <c r="AK21" s="547"/>
      <c r="AL21" s="547"/>
      <c r="AM21" s="556"/>
      <c r="AN21" s="557"/>
      <c r="AO21" s="553" t="s">
        <v>465</v>
      </c>
      <c r="AP21" s="547"/>
      <c r="AQ21" s="553" t="s">
        <v>454</v>
      </c>
      <c r="AR21" s="553" t="s">
        <v>465</v>
      </c>
      <c r="AS21" s="575"/>
      <c r="AT21" s="550"/>
      <c r="AU21" s="557"/>
      <c r="AV21" s="557"/>
      <c r="AW21" s="557"/>
      <c r="AX21" s="547"/>
      <c r="AY21" s="553"/>
      <c r="AZ21" s="547"/>
      <c r="BA21" s="547"/>
      <c r="BB21" s="553"/>
      <c r="BC21" s="297"/>
      <c r="BD21" s="558"/>
      <c r="BE21" s="547"/>
      <c r="BF21" s="551"/>
      <c r="BG21" s="552"/>
      <c r="BH21" s="553"/>
      <c r="BI21" s="555"/>
      <c r="BJ21" s="450"/>
      <c r="BK21" s="579"/>
      <c r="BL21" s="552"/>
      <c r="BM21" s="553"/>
      <c r="BN21" s="553"/>
      <c r="BO21" s="553"/>
      <c r="BP21" s="553"/>
      <c r="BQ21" s="576"/>
      <c r="BR21" s="559"/>
      <c r="BS21" s="550"/>
      <c r="BT21" s="560"/>
      <c r="BU21" s="561"/>
      <c r="BV21" s="577" t="s">
        <v>466</v>
      </c>
      <c r="BW21" s="550"/>
      <c r="BX21" s="547"/>
      <c r="BY21" s="547"/>
      <c r="BZ21" s="547"/>
      <c r="CA21" s="547"/>
      <c r="CB21" s="547"/>
      <c r="CC21" s="547"/>
      <c r="CD21" s="562"/>
      <c r="CE21" s="550"/>
      <c r="CF21" s="547"/>
      <c r="CG21" s="547"/>
      <c r="CH21" s="551"/>
      <c r="CI21" s="550"/>
      <c r="CJ21" s="551"/>
      <c r="CK21" s="558"/>
      <c r="CL21" s="547"/>
      <c r="CM21" s="547"/>
      <c r="CN21" s="551"/>
      <c r="CO21" s="558"/>
      <c r="CP21" s="547"/>
      <c r="CQ21" s="547"/>
      <c r="CR21" s="547"/>
      <c r="CS21" s="551"/>
      <c r="CT21" s="550"/>
      <c r="CU21" s="563"/>
      <c r="CV21" s="343"/>
      <c r="CW21" s="564"/>
      <c r="CX21" s="565"/>
      <c r="CY21" s="566"/>
      <c r="CZ21" s="550"/>
      <c r="DA21" s="547"/>
      <c r="DB21" s="567"/>
      <c r="DC21" s="344"/>
      <c r="DD21" s="568"/>
      <c r="DE21" s="555"/>
      <c r="DF21" s="551"/>
    </row>
    <row r="22" spans="1:110" ht="20.100000000000001" customHeight="1" thickBot="1" x14ac:dyDescent="0.25">
      <c r="A22" s="573">
        <v>12</v>
      </c>
      <c r="B22" s="545" t="s">
        <v>351</v>
      </c>
      <c r="C22" s="569">
        <v>308</v>
      </c>
      <c r="D22" s="600" t="s">
        <v>350</v>
      </c>
      <c r="E22" s="544" t="s">
        <v>498</v>
      </c>
      <c r="F22" s="570" t="s">
        <v>352</v>
      </c>
      <c r="G22" s="571" t="s">
        <v>499</v>
      </c>
      <c r="H22" s="599" t="s">
        <v>497</v>
      </c>
      <c r="I22" s="574" t="s">
        <v>511</v>
      </c>
      <c r="J22" s="546"/>
      <c r="K22" s="580" t="s">
        <v>467</v>
      </c>
      <c r="L22" s="578"/>
      <c r="M22" s="572"/>
      <c r="N22" s="548"/>
      <c r="O22" s="549"/>
      <c r="P22" s="550"/>
      <c r="Q22" s="531"/>
      <c r="R22" s="531"/>
      <c r="S22" s="547"/>
      <c r="T22" s="547"/>
      <c r="U22" s="547"/>
      <c r="V22" s="547"/>
      <c r="W22" s="547"/>
      <c r="X22" s="547"/>
      <c r="Y22" s="547"/>
      <c r="Z22" s="547"/>
      <c r="AA22" s="551"/>
      <c r="AB22" s="552"/>
      <c r="AC22" s="547"/>
      <c r="AD22" s="547"/>
      <c r="AE22" s="547"/>
      <c r="AF22" s="547"/>
      <c r="AG22" s="553"/>
      <c r="AH22" s="554" t="str">
        <f t="shared" si="1"/>
        <v/>
      </c>
      <c r="AI22" s="555" t="str">
        <f>IF(ISNUMBER(AH22),100*AH22/(#REF!),"")</f>
        <v/>
      </c>
      <c r="AJ22" s="553">
        <v>150</v>
      </c>
      <c r="AK22" s="547"/>
      <c r="AL22" s="547"/>
      <c r="AM22" s="556"/>
      <c r="AN22" s="557"/>
      <c r="AO22" s="553" t="s">
        <v>468</v>
      </c>
      <c r="AP22" s="547" t="s">
        <v>469</v>
      </c>
      <c r="AQ22" s="553" t="s">
        <v>448</v>
      </c>
      <c r="AR22" s="553" t="s">
        <v>468</v>
      </c>
      <c r="AS22" s="575"/>
      <c r="AT22" s="550"/>
      <c r="AU22" s="557"/>
      <c r="AV22" s="557"/>
      <c r="AW22" s="557"/>
      <c r="AX22" s="547"/>
      <c r="AY22" s="553"/>
      <c r="AZ22" s="547"/>
      <c r="BA22" s="547"/>
      <c r="BB22" s="553"/>
      <c r="BC22" s="297"/>
      <c r="BD22" s="558"/>
      <c r="BE22" s="547"/>
      <c r="BF22" s="551"/>
      <c r="BG22" s="552"/>
      <c r="BH22" s="553"/>
      <c r="BI22" s="555"/>
      <c r="BJ22" s="450"/>
      <c r="BK22" s="579"/>
      <c r="BL22" s="552"/>
      <c r="BM22" s="553"/>
      <c r="BN22" s="553"/>
      <c r="BO22" s="553"/>
      <c r="BP22" s="553"/>
      <c r="BQ22" s="576">
        <v>1</v>
      </c>
      <c r="BR22" s="559">
        <v>1</v>
      </c>
      <c r="BS22" s="550"/>
      <c r="BT22" s="560"/>
      <c r="BU22" s="561"/>
      <c r="BV22" s="577"/>
      <c r="BW22" s="550"/>
      <c r="BX22" s="547"/>
      <c r="BY22" s="547"/>
      <c r="BZ22" s="547"/>
      <c r="CA22" s="547"/>
      <c r="CB22" s="547"/>
      <c r="CC22" s="547"/>
      <c r="CD22" s="562"/>
      <c r="CE22" s="550"/>
      <c r="CF22" s="547"/>
      <c r="CG22" s="547"/>
      <c r="CH22" s="551"/>
      <c r="CI22" s="550"/>
      <c r="CJ22" s="551"/>
      <c r="CK22" s="558"/>
      <c r="CL22" s="547"/>
      <c r="CM22" s="547"/>
      <c r="CN22" s="551"/>
      <c r="CO22" s="558"/>
      <c r="CP22" s="547"/>
      <c r="CQ22" s="547"/>
      <c r="CR22" s="547"/>
      <c r="CS22" s="551"/>
      <c r="CT22" s="550"/>
      <c r="CU22" s="563"/>
      <c r="CV22" s="343"/>
      <c r="CW22" s="564"/>
      <c r="CX22" s="565"/>
      <c r="CY22" s="566"/>
      <c r="CZ22" s="550"/>
      <c r="DA22" s="547"/>
      <c r="DB22" s="567"/>
      <c r="DC22" s="344"/>
      <c r="DD22" s="568"/>
      <c r="DE22" s="555"/>
      <c r="DF22" s="551"/>
    </row>
    <row r="23" spans="1:110" ht="20.100000000000001" customHeight="1" thickBot="1" x14ac:dyDescent="0.25">
      <c r="A23" s="573">
        <v>13</v>
      </c>
      <c r="B23" s="545" t="s">
        <v>351</v>
      </c>
      <c r="C23" s="569">
        <v>308</v>
      </c>
      <c r="D23" s="600" t="s">
        <v>350</v>
      </c>
      <c r="E23" s="544" t="s">
        <v>498</v>
      </c>
      <c r="F23" s="570" t="s">
        <v>352</v>
      </c>
      <c r="G23" s="571" t="s">
        <v>499</v>
      </c>
      <c r="H23" s="599" t="s">
        <v>497</v>
      </c>
      <c r="I23" s="574" t="s">
        <v>512</v>
      </c>
      <c r="J23" s="546"/>
      <c r="K23" s="580" t="s">
        <v>467</v>
      </c>
      <c r="L23" s="578"/>
      <c r="M23" s="572"/>
      <c r="N23" s="548"/>
      <c r="O23" s="549"/>
      <c r="P23" s="550"/>
      <c r="Q23" s="531"/>
      <c r="R23" s="531"/>
      <c r="S23" s="547"/>
      <c r="T23" s="547"/>
      <c r="U23" s="547"/>
      <c r="V23" s="547"/>
      <c r="W23" s="547"/>
      <c r="X23" s="547"/>
      <c r="Y23" s="547"/>
      <c r="Z23" s="547"/>
      <c r="AA23" s="551"/>
      <c r="AB23" s="552"/>
      <c r="AC23" s="547"/>
      <c r="AD23" s="547"/>
      <c r="AE23" s="547"/>
      <c r="AF23" s="547"/>
      <c r="AG23" s="553"/>
      <c r="AH23" s="554" t="str">
        <f t="shared" si="1"/>
        <v/>
      </c>
      <c r="AI23" s="555" t="str">
        <f>IF(ISNUMBER(AH23),100*AH23/(#REF!),"")</f>
        <v/>
      </c>
      <c r="AJ23" s="553">
        <v>100</v>
      </c>
      <c r="AK23" s="547"/>
      <c r="AL23" s="547"/>
      <c r="AM23" s="556"/>
      <c r="AN23" s="557"/>
      <c r="AO23" s="553" t="s">
        <v>470</v>
      </c>
      <c r="AP23" s="547" t="s">
        <v>469</v>
      </c>
      <c r="AQ23" s="553" t="s">
        <v>448</v>
      </c>
      <c r="AR23" s="553" t="s">
        <v>470</v>
      </c>
      <c r="AS23" s="575"/>
      <c r="AT23" s="550"/>
      <c r="AU23" s="557"/>
      <c r="AV23" s="557"/>
      <c r="AW23" s="557"/>
      <c r="AX23" s="547"/>
      <c r="AY23" s="553"/>
      <c r="AZ23" s="547"/>
      <c r="BA23" s="547"/>
      <c r="BB23" s="553"/>
      <c r="BC23" s="297"/>
      <c r="BD23" s="558"/>
      <c r="BE23" s="547"/>
      <c r="BF23" s="551"/>
      <c r="BG23" s="552"/>
      <c r="BH23" s="553"/>
      <c r="BI23" s="555"/>
      <c r="BJ23" s="450"/>
      <c r="BK23" s="579"/>
      <c r="BL23" s="552"/>
      <c r="BM23" s="553"/>
      <c r="BN23" s="553"/>
      <c r="BO23" s="553"/>
      <c r="BP23" s="553"/>
      <c r="BQ23" s="576">
        <v>1</v>
      </c>
      <c r="BR23" s="559">
        <v>1</v>
      </c>
      <c r="BS23" s="550"/>
      <c r="BT23" s="560"/>
      <c r="BU23" s="561"/>
      <c r="BV23" s="577"/>
      <c r="BW23" s="550"/>
      <c r="BX23" s="547"/>
      <c r="BY23" s="547"/>
      <c r="BZ23" s="547"/>
      <c r="CA23" s="547"/>
      <c r="CB23" s="547"/>
      <c r="CC23" s="547"/>
      <c r="CD23" s="562"/>
      <c r="CE23" s="550"/>
      <c r="CF23" s="547"/>
      <c r="CG23" s="547"/>
      <c r="CH23" s="551"/>
      <c r="CI23" s="550"/>
      <c r="CJ23" s="551"/>
      <c r="CK23" s="558"/>
      <c r="CL23" s="547"/>
      <c r="CM23" s="547"/>
      <c r="CN23" s="551"/>
      <c r="CO23" s="558"/>
      <c r="CP23" s="547"/>
      <c r="CQ23" s="547"/>
      <c r="CR23" s="547"/>
      <c r="CS23" s="551"/>
      <c r="CT23" s="550"/>
      <c r="CU23" s="563"/>
      <c r="CV23" s="343"/>
      <c r="CW23" s="564"/>
      <c r="CX23" s="565"/>
      <c r="CY23" s="566"/>
      <c r="CZ23" s="550"/>
      <c r="DA23" s="547"/>
      <c r="DB23" s="567"/>
      <c r="DC23" s="344"/>
      <c r="DD23" s="568"/>
      <c r="DE23" s="555"/>
      <c r="DF23" s="551"/>
    </row>
    <row r="24" spans="1:110" ht="20.100000000000001" customHeight="1" thickBot="1" x14ac:dyDescent="0.25">
      <c r="A24" s="573">
        <v>14</v>
      </c>
      <c r="B24" s="545" t="s">
        <v>351</v>
      </c>
      <c r="C24" s="569">
        <v>308</v>
      </c>
      <c r="D24" s="600" t="s">
        <v>350</v>
      </c>
      <c r="E24" s="544" t="s">
        <v>498</v>
      </c>
      <c r="F24" s="570" t="s">
        <v>352</v>
      </c>
      <c r="G24" s="571" t="s">
        <v>499</v>
      </c>
      <c r="H24" s="599" t="s">
        <v>497</v>
      </c>
      <c r="I24" s="574" t="s">
        <v>513</v>
      </c>
      <c r="J24" s="546"/>
      <c r="K24" s="580" t="s">
        <v>456</v>
      </c>
      <c r="L24" s="578"/>
      <c r="M24" s="572"/>
      <c r="N24" s="548"/>
      <c r="O24" s="549"/>
      <c r="P24" s="550"/>
      <c r="Q24" s="531"/>
      <c r="R24" s="531"/>
      <c r="S24" s="547"/>
      <c r="T24" s="547"/>
      <c r="U24" s="547"/>
      <c r="V24" s="547"/>
      <c r="W24" s="547"/>
      <c r="X24" s="547"/>
      <c r="Y24" s="547"/>
      <c r="Z24" s="547"/>
      <c r="AA24" s="551"/>
      <c r="AB24" s="552"/>
      <c r="AC24" s="547"/>
      <c r="AD24" s="547"/>
      <c r="AE24" s="547"/>
      <c r="AF24" s="547"/>
      <c r="AG24" s="553"/>
      <c r="AH24" s="554" t="str">
        <f t="shared" si="1"/>
        <v/>
      </c>
      <c r="AI24" s="555" t="str">
        <f>IF(ISNUMBER(AH24),100*AH24/(#REF!),"")</f>
        <v/>
      </c>
      <c r="AJ24" s="553"/>
      <c r="AK24" s="547"/>
      <c r="AL24" s="547"/>
      <c r="AM24" s="556" t="s">
        <v>457</v>
      </c>
      <c r="AN24" s="557" t="s">
        <v>452</v>
      </c>
      <c r="AO24" s="553" t="s">
        <v>458</v>
      </c>
      <c r="AP24" s="547" t="s">
        <v>459</v>
      </c>
      <c r="AQ24" s="553" t="s">
        <v>460</v>
      </c>
      <c r="AR24" s="553" t="s">
        <v>458</v>
      </c>
      <c r="AS24" s="575"/>
      <c r="AT24" s="550"/>
      <c r="AU24" s="557"/>
      <c r="AV24" s="557"/>
      <c r="AW24" s="557"/>
      <c r="AX24" s="547"/>
      <c r="AY24" s="553"/>
      <c r="AZ24" s="547"/>
      <c r="BA24" s="547"/>
      <c r="BB24" s="553"/>
      <c r="BC24" s="297"/>
      <c r="BD24" s="558"/>
      <c r="BE24" s="547"/>
      <c r="BF24" s="551"/>
      <c r="BG24" s="552"/>
      <c r="BH24" s="553"/>
      <c r="BI24" s="555"/>
      <c r="BJ24" s="450"/>
      <c r="BK24" s="579"/>
      <c r="BL24" s="552"/>
      <c r="BM24" s="553"/>
      <c r="BN24" s="553"/>
      <c r="BO24" s="553"/>
      <c r="BP24" s="553"/>
      <c r="BQ24" s="576">
        <v>1</v>
      </c>
      <c r="BR24" s="559"/>
      <c r="BS24" s="550"/>
      <c r="BT24" s="560"/>
      <c r="BU24" s="561"/>
      <c r="BV24" s="577"/>
      <c r="BW24" s="550"/>
      <c r="BX24" s="547"/>
      <c r="BY24" s="547"/>
      <c r="BZ24" s="547"/>
      <c r="CA24" s="547"/>
      <c r="CB24" s="547"/>
      <c r="CC24" s="547"/>
      <c r="CD24" s="562"/>
      <c r="CE24" s="550"/>
      <c r="CF24" s="547"/>
      <c r="CG24" s="547"/>
      <c r="CH24" s="551"/>
      <c r="CI24" s="550"/>
      <c r="CJ24" s="551"/>
      <c r="CK24" s="558"/>
      <c r="CL24" s="547"/>
      <c r="CM24" s="547"/>
      <c r="CN24" s="551"/>
      <c r="CO24" s="558"/>
      <c r="CP24" s="547"/>
      <c r="CQ24" s="547"/>
      <c r="CR24" s="547"/>
      <c r="CS24" s="551"/>
      <c r="CT24" s="550"/>
      <c r="CU24" s="563"/>
      <c r="CV24" s="343"/>
      <c r="CW24" s="564"/>
      <c r="CX24" s="565"/>
      <c r="CY24" s="566"/>
      <c r="CZ24" s="550"/>
      <c r="DA24" s="547"/>
      <c r="DB24" s="567"/>
      <c r="DC24" s="344"/>
      <c r="DD24" s="568"/>
      <c r="DE24" s="555"/>
      <c r="DF24" s="551"/>
    </row>
    <row r="25" spans="1:110" ht="20.100000000000001" customHeight="1" thickBot="1" x14ac:dyDescent="0.25">
      <c r="A25" s="573">
        <v>15</v>
      </c>
      <c r="B25" s="545" t="s">
        <v>351</v>
      </c>
      <c r="C25" s="569">
        <v>308</v>
      </c>
      <c r="D25" s="600" t="s">
        <v>350</v>
      </c>
      <c r="E25" s="544" t="s">
        <v>498</v>
      </c>
      <c r="F25" s="570" t="s">
        <v>352</v>
      </c>
      <c r="G25" s="571" t="s">
        <v>499</v>
      </c>
      <c r="H25" s="599" t="s">
        <v>497</v>
      </c>
      <c r="I25" s="574" t="s">
        <v>514</v>
      </c>
      <c r="J25" s="546"/>
      <c r="K25" s="580" t="s">
        <v>461</v>
      </c>
      <c r="L25" s="578"/>
      <c r="M25" s="572"/>
      <c r="N25" s="548"/>
      <c r="O25" s="549"/>
      <c r="P25" s="550"/>
      <c r="Q25" s="531"/>
      <c r="R25" s="531"/>
      <c r="S25" s="547"/>
      <c r="T25" s="547"/>
      <c r="U25" s="547"/>
      <c r="V25" s="547"/>
      <c r="W25" s="547"/>
      <c r="X25" s="547"/>
      <c r="Y25" s="547"/>
      <c r="Z25" s="547"/>
      <c r="AA25" s="551"/>
      <c r="AB25" s="552"/>
      <c r="AC25" s="547"/>
      <c r="AD25" s="547"/>
      <c r="AE25" s="547"/>
      <c r="AF25" s="547"/>
      <c r="AG25" s="553"/>
      <c r="AH25" s="554" t="str">
        <f t="shared" si="1"/>
        <v/>
      </c>
      <c r="AI25" s="555" t="str">
        <f>IF(ISNUMBER(AH25),100*AH25/(#REF!),"")</f>
        <v/>
      </c>
      <c r="AJ25" s="553"/>
      <c r="AK25" s="547"/>
      <c r="AL25" s="547"/>
      <c r="AM25" s="556" t="s">
        <v>457</v>
      </c>
      <c r="AN25" s="557" t="s">
        <v>452</v>
      </c>
      <c r="AO25" s="553" t="s">
        <v>458</v>
      </c>
      <c r="AP25" s="547" t="s">
        <v>459</v>
      </c>
      <c r="AQ25" s="553" t="s">
        <v>460</v>
      </c>
      <c r="AR25" s="553" t="s">
        <v>458</v>
      </c>
      <c r="AS25" s="575"/>
      <c r="AT25" s="550"/>
      <c r="AU25" s="557"/>
      <c r="AV25" s="557"/>
      <c r="AW25" s="557"/>
      <c r="AX25" s="547"/>
      <c r="AY25" s="553"/>
      <c r="AZ25" s="547"/>
      <c r="BA25" s="547"/>
      <c r="BB25" s="553"/>
      <c r="BC25" s="297"/>
      <c r="BD25" s="558"/>
      <c r="BE25" s="547"/>
      <c r="BF25" s="551"/>
      <c r="BG25" s="552"/>
      <c r="BH25" s="553"/>
      <c r="BI25" s="555"/>
      <c r="BJ25" s="450"/>
      <c r="BK25" s="579"/>
      <c r="BL25" s="552"/>
      <c r="BM25" s="553"/>
      <c r="BN25" s="553"/>
      <c r="BO25" s="553"/>
      <c r="BP25" s="553"/>
      <c r="BQ25" s="576">
        <v>1</v>
      </c>
      <c r="BR25" s="559"/>
      <c r="BS25" s="550"/>
      <c r="BT25" s="560"/>
      <c r="BU25" s="561"/>
      <c r="BV25" s="577"/>
      <c r="BW25" s="550"/>
      <c r="BX25" s="547"/>
      <c r="BY25" s="547"/>
      <c r="BZ25" s="547"/>
      <c r="CA25" s="547"/>
      <c r="CB25" s="547"/>
      <c r="CC25" s="547"/>
      <c r="CD25" s="562"/>
      <c r="CE25" s="550"/>
      <c r="CF25" s="547"/>
      <c r="CG25" s="547"/>
      <c r="CH25" s="551"/>
      <c r="CI25" s="550"/>
      <c r="CJ25" s="551"/>
      <c r="CK25" s="558"/>
      <c r="CL25" s="547"/>
      <c r="CM25" s="547"/>
      <c r="CN25" s="551"/>
      <c r="CO25" s="558"/>
      <c r="CP25" s="547"/>
      <c r="CQ25" s="547"/>
      <c r="CR25" s="547"/>
      <c r="CS25" s="551"/>
      <c r="CT25" s="550"/>
      <c r="CU25" s="563"/>
      <c r="CV25" s="343"/>
      <c r="CW25" s="564"/>
      <c r="CX25" s="565"/>
      <c r="CY25" s="566"/>
      <c r="CZ25" s="550"/>
      <c r="DA25" s="547"/>
      <c r="DB25" s="567"/>
      <c r="DC25" s="344"/>
      <c r="DD25" s="568"/>
      <c r="DE25" s="555"/>
      <c r="DF25" s="551"/>
    </row>
    <row r="26" spans="1:110" ht="20.100000000000001" customHeight="1" thickBot="1" x14ac:dyDescent="0.25">
      <c r="A26" s="573">
        <v>16</v>
      </c>
      <c r="B26" s="545" t="s">
        <v>351</v>
      </c>
      <c r="C26" s="569">
        <v>308</v>
      </c>
      <c r="D26" s="600" t="s">
        <v>350</v>
      </c>
      <c r="E26" s="544" t="s">
        <v>498</v>
      </c>
      <c r="F26" s="570" t="s">
        <v>352</v>
      </c>
      <c r="G26" s="571" t="s">
        <v>499</v>
      </c>
      <c r="H26" s="599" t="s">
        <v>497</v>
      </c>
      <c r="I26" s="574" t="s">
        <v>515</v>
      </c>
      <c r="J26" s="546"/>
      <c r="K26" s="580" t="s">
        <v>462</v>
      </c>
      <c r="L26" s="578"/>
      <c r="M26" s="572"/>
      <c r="N26" s="548"/>
      <c r="O26" s="549"/>
      <c r="P26" s="550"/>
      <c r="Q26" s="531"/>
      <c r="R26" s="531"/>
      <c r="S26" s="547"/>
      <c r="T26" s="547"/>
      <c r="U26" s="547"/>
      <c r="V26" s="547"/>
      <c r="W26" s="547"/>
      <c r="X26" s="547"/>
      <c r="Y26" s="547"/>
      <c r="Z26" s="547"/>
      <c r="AA26" s="551"/>
      <c r="AB26" s="552"/>
      <c r="AC26" s="547"/>
      <c r="AD26" s="547"/>
      <c r="AE26" s="547"/>
      <c r="AF26" s="547"/>
      <c r="AG26" s="553"/>
      <c r="AH26" s="554" t="str">
        <f t="shared" si="1"/>
        <v/>
      </c>
      <c r="AI26" s="555" t="str">
        <f>IF(ISNUMBER(AH26),100*AH26/(#REF!),"")</f>
        <v/>
      </c>
      <c r="AJ26" s="553"/>
      <c r="AK26" s="547"/>
      <c r="AL26" s="547"/>
      <c r="AM26" s="556" t="s">
        <v>451</v>
      </c>
      <c r="AN26" s="557" t="s">
        <v>452</v>
      </c>
      <c r="AO26" s="553" t="s">
        <v>453</v>
      </c>
      <c r="AP26" s="547"/>
      <c r="AQ26" s="553" t="s">
        <v>454</v>
      </c>
      <c r="AR26" s="553" t="s">
        <v>453</v>
      </c>
      <c r="AS26" s="575"/>
      <c r="AT26" s="550"/>
      <c r="AU26" s="557"/>
      <c r="AV26" s="557"/>
      <c r="AW26" s="557"/>
      <c r="AX26" s="547"/>
      <c r="AY26" s="553"/>
      <c r="AZ26" s="547"/>
      <c r="BA26" s="547"/>
      <c r="BB26" s="553"/>
      <c r="BC26" s="297"/>
      <c r="BD26" s="558"/>
      <c r="BE26" s="547"/>
      <c r="BF26" s="551"/>
      <c r="BG26" s="552"/>
      <c r="BH26" s="553"/>
      <c r="BI26" s="555"/>
      <c r="BJ26" s="450"/>
      <c r="BK26" s="579"/>
      <c r="BL26" s="552"/>
      <c r="BM26" s="553"/>
      <c r="BN26" s="553"/>
      <c r="BO26" s="553"/>
      <c r="BP26" s="553"/>
      <c r="BQ26" s="576">
        <v>1</v>
      </c>
      <c r="BR26" s="559"/>
      <c r="BS26" s="550"/>
      <c r="BT26" s="560"/>
      <c r="BU26" s="561"/>
      <c r="BV26" s="577"/>
      <c r="BW26" s="550"/>
      <c r="BX26" s="547"/>
      <c r="BY26" s="547"/>
      <c r="BZ26" s="547"/>
      <c r="CA26" s="547"/>
      <c r="CB26" s="547"/>
      <c r="CC26" s="547"/>
      <c r="CD26" s="562"/>
      <c r="CE26" s="550"/>
      <c r="CF26" s="547"/>
      <c r="CG26" s="547"/>
      <c r="CH26" s="551"/>
      <c r="CI26" s="550"/>
      <c r="CJ26" s="551"/>
      <c r="CK26" s="558"/>
      <c r="CL26" s="547"/>
      <c r="CM26" s="547"/>
      <c r="CN26" s="551"/>
      <c r="CO26" s="558"/>
      <c r="CP26" s="547"/>
      <c r="CQ26" s="547"/>
      <c r="CR26" s="547"/>
      <c r="CS26" s="551"/>
      <c r="CT26" s="550"/>
      <c r="CU26" s="563"/>
      <c r="CV26" s="343"/>
      <c r="CW26" s="564"/>
      <c r="CX26" s="565"/>
      <c r="CY26" s="566"/>
      <c r="CZ26" s="550"/>
      <c r="DA26" s="547"/>
      <c r="DB26" s="567"/>
      <c r="DC26" s="344"/>
      <c r="DD26" s="568"/>
      <c r="DE26" s="555"/>
      <c r="DF26" s="551"/>
    </row>
    <row r="27" spans="1:110" ht="20.100000000000001" customHeight="1" thickBot="1" x14ac:dyDescent="0.25">
      <c r="A27" s="573">
        <v>17</v>
      </c>
      <c r="B27" s="545" t="s">
        <v>351</v>
      </c>
      <c r="C27" s="569">
        <v>308</v>
      </c>
      <c r="D27" s="600" t="s">
        <v>350</v>
      </c>
      <c r="E27" s="544" t="s">
        <v>498</v>
      </c>
      <c r="F27" s="570" t="s">
        <v>352</v>
      </c>
      <c r="G27" s="571" t="s">
        <v>499</v>
      </c>
      <c r="H27" s="599" t="s">
        <v>497</v>
      </c>
      <c r="I27" s="574" t="s">
        <v>516</v>
      </c>
      <c r="J27" s="546"/>
      <c r="K27" s="580" t="s">
        <v>445</v>
      </c>
      <c r="L27" s="578"/>
      <c r="M27" s="572"/>
      <c r="N27" s="548"/>
      <c r="O27" s="549"/>
      <c r="P27" s="550"/>
      <c r="Q27" s="531"/>
      <c r="R27" s="531"/>
      <c r="S27" s="547"/>
      <c r="T27" s="547"/>
      <c r="U27" s="547"/>
      <c r="V27" s="547"/>
      <c r="W27" s="547"/>
      <c r="X27" s="547"/>
      <c r="Y27" s="547"/>
      <c r="Z27" s="547"/>
      <c r="AA27" s="551"/>
      <c r="AB27" s="552"/>
      <c r="AC27" s="547"/>
      <c r="AD27" s="547"/>
      <c r="AE27" s="547"/>
      <c r="AF27" s="547"/>
      <c r="AG27" s="553"/>
      <c r="AH27" s="554" t="str">
        <f t="shared" si="1"/>
        <v/>
      </c>
      <c r="AI27" s="555" t="str">
        <f>IF(ISNUMBER(AH27),100*AH27/(#REF!),"")</f>
        <v/>
      </c>
      <c r="AJ27" s="553">
        <v>250</v>
      </c>
      <c r="AK27" s="547"/>
      <c r="AL27" s="547"/>
      <c r="AM27" s="556"/>
      <c r="AN27" s="557"/>
      <c r="AO27" s="553" t="s">
        <v>446</v>
      </c>
      <c r="AP27" s="547" t="s">
        <v>447</v>
      </c>
      <c r="AQ27" s="553" t="s">
        <v>448</v>
      </c>
      <c r="AR27" s="553" t="s">
        <v>446</v>
      </c>
      <c r="AS27" s="575"/>
      <c r="AT27" s="550"/>
      <c r="AU27" s="557" t="s">
        <v>463</v>
      </c>
      <c r="AV27" s="557"/>
      <c r="AW27" s="557"/>
      <c r="AX27" s="547"/>
      <c r="AY27" s="553"/>
      <c r="AZ27" s="547"/>
      <c r="BA27" s="547"/>
      <c r="BB27" s="553"/>
      <c r="BC27" s="297"/>
      <c r="BD27" s="558"/>
      <c r="BE27" s="547"/>
      <c r="BF27" s="551"/>
      <c r="BG27" s="552"/>
      <c r="BH27" s="553"/>
      <c r="BI27" s="555"/>
      <c r="BJ27" s="450"/>
      <c r="BK27" s="579"/>
      <c r="BL27" s="552">
        <v>2</v>
      </c>
      <c r="BM27" s="553"/>
      <c r="BN27" s="553"/>
      <c r="BO27" s="553"/>
      <c r="BP27" s="553">
        <v>1</v>
      </c>
      <c r="BQ27" s="576"/>
      <c r="BR27" s="559"/>
      <c r="BS27" s="550"/>
      <c r="BT27" s="560"/>
      <c r="BU27" s="561"/>
      <c r="BV27" s="577"/>
      <c r="BW27" s="550"/>
      <c r="BX27" s="547"/>
      <c r="BY27" s="547"/>
      <c r="BZ27" s="547"/>
      <c r="CA27" s="547"/>
      <c r="CB27" s="547"/>
      <c r="CC27" s="547"/>
      <c r="CD27" s="562"/>
      <c r="CE27" s="550"/>
      <c r="CF27" s="547"/>
      <c r="CG27" s="547"/>
      <c r="CH27" s="551"/>
      <c r="CI27" s="550"/>
      <c r="CJ27" s="551"/>
      <c r="CK27" s="558"/>
      <c r="CL27" s="547"/>
      <c r="CM27" s="547"/>
      <c r="CN27" s="551"/>
      <c r="CO27" s="558"/>
      <c r="CP27" s="547"/>
      <c r="CQ27" s="547"/>
      <c r="CR27" s="547"/>
      <c r="CS27" s="551"/>
      <c r="CT27" s="550"/>
      <c r="CU27" s="563"/>
      <c r="CV27" s="343"/>
      <c r="CW27" s="564"/>
      <c r="CX27" s="565"/>
      <c r="CY27" s="566"/>
      <c r="CZ27" s="550"/>
      <c r="DA27" s="547"/>
      <c r="DB27" s="567"/>
      <c r="DC27" s="344"/>
      <c r="DD27" s="568"/>
      <c r="DE27" s="555"/>
      <c r="DF27" s="551"/>
    </row>
    <row r="28" spans="1:110" ht="20.100000000000001" customHeight="1" thickBot="1" x14ac:dyDescent="0.25">
      <c r="A28" s="573">
        <v>18</v>
      </c>
      <c r="B28" s="545" t="s">
        <v>351</v>
      </c>
      <c r="C28" s="569">
        <v>308</v>
      </c>
      <c r="D28" s="600" t="s">
        <v>350</v>
      </c>
      <c r="E28" s="544" t="s">
        <v>498</v>
      </c>
      <c r="F28" s="570" t="s">
        <v>352</v>
      </c>
      <c r="G28" s="571" t="s">
        <v>499</v>
      </c>
      <c r="H28" s="599" t="s">
        <v>497</v>
      </c>
      <c r="I28" s="574" t="s">
        <v>517</v>
      </c>
      <c r="J28" s="546"/>
      <c r="K28" s="580" t="s">
        <v>445</v>
      </c>
      <c r="L28" s="578"/>
      <c r="M28" s="572"/>
      <c r="N28" s="548"/>
      <c r="O28" s="549"/>
      <c r="P28" s="550"/>
      <c r="Q28" s="531"/>
      <c r="R28" s="531"/>
      <c r="S28" s="547"/>
      <c r="T28" s="547"/>
      <c r="U28" s="547"/>
      <c r="V28" s="547"/>
      <c r="W28" s="547"/>
      <c r="X28" s="547"/>
      <c r="Y28" s="547"/>
      <c r="Z28" s="547"/>
      <c r="AA28" s="551"/>
      <c r="AB28" s="552"/>
      <c r="AC28" s="547"/>
      <c r="AD28" s="547"/>
      <c r="AE28" s="547"/>
      <c r="AF28" s="547"/>
      <c r="AG28" s="553"/>
      <c r="AH28" s="554" t="str">
        <f t="shared" si="1"/>
        <v/>
      </c>
      <c r="AI28" s="555" t="str">
        <f>IF(ISNUMBER(AH28),100*AH28/(#REF!),"")</f>
        <v/>
      </c>
      <c r="AJ28" s="553">
        <v>250</v>
      </c>
      <c r="AK28" s="547"/>
      <c r="AL28" s="547"/>
      <c r="AM28" s="556"/>
      <c r="AN28" s="557"/>
      <c r="AO28" s="553" t="s">
        <v>446</v>
      </c>
      <c r="AP28" s="547" t="s">
        <v>447</v>
      </c>
      <c r="AQ28" s="553" t="s">
        <v>448</v>
      </c>
      <c r="AR28" s="553" t="s">
        <v>446</v>
      </c>
      <c r="AS28" s="575"/>
      <c r="AT28" s="550"/>
      <c r="AU28" s="557" t="s">
        <v>463</v>
      </c>
      <c r="AV28" s="557"/>
      <c r="AW28" s="557"/>
      <c r="AX28" s="547"/>
      <c r="AY28" s="553"/>
      <c r="AZ28" s="547"/>
      <c r="BA28" s="547"/>
      <c r="BB28" s="553"/>
      <c r="BC28" s="297"/>
      <c r="BD28" s="558"/>
      <c r="BE28" s="547"/>
      <c r="BF28" s="551"/>
      <c r="BG28" s="552"/>
      <c r="BH28" s="553"/>
      <c r="BI28" s="555"/>
      <c r="BJ28" s="450"/>
      <c r="BK28" s="579"/>
      <c r="BL28" s="552">
        <v>2</v>
      </c>
      <c r="BM28" s="553"/>
      <c r="BN28" s="553"/>
      <c r="BO28" s="553"/>
      <c r="BP28" s="553">
        <v>1</v>
      </c>
      <c r="BQ28" s="576"/>
      <c r="BR28" s="559"/>
      <c r="BS28" s="550"/>
      <c r="BT28" s="560"/>
      <c r="BU28" s="561"/>
      <c r="BV28" s="577"/>
      <c r="BW28" s="550"/>
      <c r="BX28" s="547"/>
      <c r="BY28" s="547"/>
      <c r="BZ28" s="547"/>
      <c r="CA28" s="547"/>
      <c r="CB28" s="547"/>
      <c r="CC28" s="547"/>
      <c r="CD28" s="562"/>
      <c r="CE28" s="550"/>
      <c r="CF28" s="547"/>
      <c r="CG28" s="547"/>
      <c r="CH28" s="551"/>
      <c r="CI28" s="550"/>
      <c r="CJ28" s="551"/>
      <c r="CK28" s="558"/>
      <c r="CL28" s="547"/>
      <c r="CM28" s="547"/>
      <c r="CN28" s="551"/>
      <c r="CO28" s="558"/>
      <c r="CP28" s="547"/>
      <c r="CQ28" s="547"/>
      <c r="CR28" s="547"/>
      <c r="CS28" s="551"/>
      <c r="CT28" s="550"/>
      <c r="CU28" s="563"/>
      <c r="CV28" s="343"/>
      <c r="CW28" s="564"/>
      <c r="CX28" s="565"/>
      <c r="CY28" s="566"/>
      <c r="CZ28" s="550"/>
      <c r="DA28" s="547"/>
      <c r="DB28" s="567"/>
      <c r="DC28" s="344"/>
      <c r="DD28" s="568"/>
      <c r="DE28" s="555"/>
      <c r="DF28" s="551"/>
    </row>
    <row r="29" spans="1:110" ht="20.100000000000001" customHeight="1" thickBot="1" x14ac:dyDescent="0.25">
      <c r="A29" s="573">
        <v>19</v>
      </c>
      <c r="B29" s="545" t="s">
        <v>351</v>
      </c>
      <c r="C29" s="569">
        <v>308</v>
      </c>
      <c r="D29" s="600" t="s">
        <v>350</v>
      </c>
      <c r="E29" s="544" t="s">
        <v>498</v>
      </c>
      <c r="F29" s="570" t="s">
        <v>352</v>
      </c>
      <c r="G29" s="571" t="s">
        <v>499</v>
      </c>
      <c r="H29" s="599" t="s">
        <v>497</v>
      </c>
      <c r="I29" s="574" t="s">
        <v>518</v>
      </c>
      <c r="J29" s="546"/>
      <c r="K29" s="580" t="s">
        <v>445</v>
      </c>
      <c r="L29" s="578"/>
      <c r="M29" s="572"/>
      <c r="N29" s="548"/>
      <c r="O29" s="549"/>
      <c r="P29" s="550"/>
      <c r="Q29" s="531"/>
      <c r="R29" s="531"/>
      <c r="S29" s="547"/>
      <c r="T29" s="547"/>
      <c r="U29" s="547"/>
      <c r="V29" s="547"/>
      <c r="W29" s="547"/>
      <c r="X29" s="547"/>
      <c r="Y29" s="547"/>
      <c r="Z29" s="547"/>
      <c r="AA29" s="551"/>
      <c r="AB29" s="552"/>
      <c r="AC29" s="547"/>
      <c r="AD29" s="547"/>
      <c r="AE29" s="547"/>
      <c r="AF29" s="547"/>
      <c r="AG29" s="553"/>
      <c r="AH29" s="554" t="str">
        <f t="shared" si="1"/>
        <v/>
      </c>
      <c r="AI29" s="555" t="str">
        <f>IF(ISNUMBER(AH29),100*AH29/(#REF!),"")</f>
        <v/>
      </c>
      <c r="AJ29" s="553">
        <v>250</v>
      </c>
      <c r="AK29" s="547"/>
      <c r="AL29" s="547"/>
      <c r="AM29" s="556"/>
      <c r="AN29" s="557"/>
      <c r="AO29" s="553" t="s">
        <v>446</v>
      </c>
      <c r="AP29" s="547" t="s">
        <v>447</v>
      </c>
      <c r="AQ29" s="553" t="s">
        <v>448</v>
      </c>
      <c r="AR29" s="553" t="s">
        <v>446</v>
      </c>
      <c r="AS29" s="575"/>
      <c r="AT29" s="550"/>
      <c r="AU29" s="557" t="s">
        <v>463</v>
      </c>
      <c r="AV29" s="557"/>
      <c r="AW29" s="557"/>
      <c r="AX29" s="547"/>
      <c r="AY29" s="553"/>
      <c r="AZ29" s="547"/>
      <c r="BA29" s="547"/>
      <c r="BB29" s="553"/>
      <c r="BC29" s="297"/>
      <c r="BD29" s="558"/>
      <c r="BE29" s="547"/>
      <c r="BF29" s="551"/>
      <c r="BG29" s="552"/>
      <c r="BH29" s="553"/>
      <c r="BI29" s="555"/>
      <c r="BJ29" s="450"/>
      <c r="BK29" s="579"/>
      <c r="BL29" s="552">
        <v>2</v>
      </c>
      <c r="BM29" s="553"/>
      <c r="BN29" s="553"/>
      <c r="BO29" s="553"/>
      <c r="BP29" s="553">
        <v>1</v>
      </c>
      <c r="BQ29" s="576"/>
      <c r="BR29" s="559"/>
      <c r="BS29" s="550"/>
      <c r="BT29" s="560"/>
      <c r="BU29" s="561"/>
      <c r="BV29" s="577"/>
      <c r="BW29" s="550"/>
      <c r="BX29" s="547"/>
      <c r="BY29" s="547"/>
      <c r="BZ29" s="547"/>
      <c r="CA29" s="547"/>
      <c r="CB29" s="547"/>
      <c r="CC29" s="547"/>
      <c r="CD29" s="562"/>
      <c r="CE29" s="550"/>
      <c r="CF29" s="547"/>
      <c r="CG29" s="547"/>
      <c r="CH29" s="551"/>
      <c r="CI29" s="550"/>
      <c r="CJ29" s="551"/>
      <c r="CK29" s="558"/>
      <c r="CL29" s="547"/>
      <c r="CM29" s="547"/>
      <c r="CN29" s="551"/>
      <c r="CO29" s="558"/>
      <c r="CP29" s="547"/>
      <c r="CQ29" s="547"/>
      <c r="CR29" s="547"/>
      <c r="CS29" s="551"/>
      <c r="CT29" s="550"/>
      <c r="CU29" s="563"/>
      <c r="CV29" s="343"/>
      <c r="CW29" s="564"/>
      <c r="CX29" s="565"/>
      <c r="CY29" s="566"/>
      <c r="CZ29" s="550"/>
      <c r="DA29" s="547"/>
      <c r="DB29" s="567"/>
      <c r="DC29" s="344"/>
      <c r="DD29" s="568"/>
      <c r="DE29" s="555"/>
      <c r="DF29" s="551"/>
    </row>
    <row r="30" spans="1:110" ht="20.100000000000001" customHeight="1" thickBot="1" x14ac:dyDescent="0.25">
      <c r="A30" s="573">
        <v>20</v>
      </c>
      <c r="B30" s="545" t="s">
        <v>351</v>
      </c>
      <c r="C30" s="569">
        <v>308</v>
      </c>
      <c r="D30" s="600" t="s">
        <v>350</v>
      </c>
      <c r="E30" s="544" t="s">
        <v>498</v>
      </c>
      <c r="F30" s="570" t="s">
        <v>352</v>
      </c>
      <c r="G30" s="571" t="s">
        <v>499</v>
      </c>
      <c r="H30" s="599" t="s">
        <v>497</v>
      </c>
      <c r="I30" s="574" t="s">
        <v>519</v>
      </c>
      <c r="J30" s="546"/>
      <c r="K30" s="580" t="s">
        <v>445</v>
      </c>
      <c r="L30" s="578"/>
      <c r="M30" s="572"/>
      <c r="N30" s="548"/>
      <c r="O30" s="549"/>
      <c r="P30" s="550"/>
      <c r="Q30" s="531"/>
      <c r="R30" s="531"/>
      <c r="S30" s="547"/>
      <c r="T30" s="547"/>
      <c r="U30" s="547"/>
      <c r="V30" s="547"/>
      <c r="W30" s="547"/>
      <c r="X30" s="547"/>
      <c r="Y30" s="547"/>
      <c r="Z30" s="547"/>
      <c r="AA30" s="551"/>
      <c r="AB30" s="552"/>
      <c r="AC30" s="547"/>
      <c r="AD30" s="547"/>
      <c r="AE30" s="547"/>
      <c r="AF30" s="547"/>
      <c r="AG30" s="553"/>
      <c r="AH30" s="554" t="str">
        <f t="shared" si="1"/>
        <v/>
      </c>
      <c r="AI30" s="555" t="str">
        <f>IF(ISNUMBER(AH30),100*AH30/(#REF!),"")</f>
        <v/>
      </c>
      <c r="AJ30" s="553">
        <v>250</v>
      </c>
      <c r="AK30" s="547"/>
      <c r="AL30" s="547"/>
      <c r="AM30" s="556"/>
      <c r="AN30" s="557"/>
      <c r="AO30" s="553" t="s">
        <v>446</v>
      </c>
      <c r="AP30" s="547" t="s">
        <v>447</v>
      </c>
      <c r="AQ30" s="553" t="s">
        <v>448</v>
      </c>
      <c r="AR30" s="553" t="s">
        <v>446</v>
      </c>
      <c r="AS30" s="575"/>
      <c r="AT30" s="550"/>
      <c r="AU30" s="557" t="s">
        <v>463</v>
      </c>
      <c r="AV30" s="557"/>
      <c r="AW30" s="557"/>
      <c r="AX30" s="547"/>
      <c r="AY30" s="553"/>
      <c r="AZ30" s="547"/>
      <c r="BA30" s="547"/>
      <c r="BB30" s="553"/>
      <c r="BC30" s="297"/>
      <c r="BD30" s="558"/>
      <c r="BE30" s="547"/>
      <c r="BF30" s="551"/>
      <c r="BG30" s="552"/>
      <c r="BH30" s="553"/>
      <c r="BI30" s="555"/>
      <c r="BJ30" s="450"/>
      <c r="BK30" s="579"/>
      <c r="BL30" s="552">
        <v>2</v>
      </c>
      <c r="BM30" s="553"/>
      <c r="BN30" s="553"/>
      <c r="BO30" s="553"/>
      <c r="BP30" s="553">
        <v>1</v>
      </c>
      <c r="BQ30" s="576"/>
      <c r="BR30" s="559"/>
      <c r="BS30" s="550"/>
      <c r="BT30" s="560"/>
      <c r="BU30" s="561"/>
      <c r="BV30" s="577"/>
      <c r="BW30" s="550"/>
      <c r="BX30" s="547"/>
      <c r="BY30" s="547"/>
      <c r="BZ30" s="547"/>
      <c r="CA30" s="547"/>
      <c r="CB30" s="547"/>
      <c r="CC30" s="547"/>
      <c r="CD30" s="562"/>
      <c r="CE30" s="550"/>
      <c r="CF30" s="547"/>
      <c r="CG30" s="547"/>
      <c r="CH30" s="551"/>
      <c r="CI30" s="550"/>
      <c r="CJ30" s="551"/>
      <c r="CK30" s="558"/>
      <c r="CL30" s="547"/>
      <c r="CM30" s="547"/>
      <c r="CN30" s="551"/>
      <c r="CO30" s="558"/>
      <c r="CP30" s="547"/>
      <c r="CQ30" s="547"/>
      <c r="CR30" s="547"/>
      <c r="CS30" s="551"/>
      <c r="CT30" s="550"/>
      <c r="CU30" s="563"/>
      <c r="CV30" s="343"/>
      <c r="CW30" s="564"/>
      <c r="CX30" s="565"/>
      <c r="CY30" s="566"/>
      <c r="CZ30" s="550"/>
      <c r="DA30" s="547"/>
      <c r="DB30" s="567"/>
      <c r="DC30" s="344"/>
      <c r="DD30" s="568"/>
      <c r="DE30" s="555"/>
      <c r="DF30" s="551"/>
    </row>
    <row r="31" spans="1:110" ht="20.100000000000001" customHeight="1" thickBot="1" x14ac:dyDescent="0.25">
      <c r="A31" s="573">
        <v>21</v>
      </c>
      <c r="B31" s="545" t="s">
        <v>351</v>
      </c>
      <c r="C31" s="569">
        <v>308</v>
      </c>
      <c r="D31" s="600" t="s">
        <v>350</v>
      </c>
      <c r="E31" s="544" t="s">
        <v>498</v>
      </c>
      <c r="F31" s="570" t="s">
        <v>352</v>
      </c>
      <c r="G31" s="571" t="s">
        <v>499</v>
      </c>
      <c r="H31" s="599" t="s">
        <v>497</v>
      </c>
      <c r="I31" s="574" t="s">
        <v>520</v>
      </c>
      <c r="J31" s="546"/>
      <c r="K31" s="580" t="s">
        <v>464</v>
      </c>
      <c r="L31" s="578"/>
      <c r="M31" s="572"/>
      <c r="N31" s="548"/>
      <c r="O31" s="549"/>
      <c r="P31" s="550"/>
      <c r="Q31" s="531"/>
      <c r="R31" s="531"/>
      <c r="S31" s="547"/>
      <c r="T31" s="547"/>
      <c r="U31" s="547"/>
      <c r="V31" s="547"/>
      <c r="W31" s="547"/>
      <c r="X31" s="547"/>
      <c r="Y31" s="547"/>
      <c r="Z31" s="547"/>
      <c r="AA31" s="551"/>
      <c r="AB31" s="552"/>
      <c r="AC31" s="547"/>
      <c r="AD31" s="547"/>
      <c r="AE31" s="547"/>
      <c r="AF31" s="547"/>
      <c r="AG31" s="553"/>
      <c r="AH31" s="554" t="str">
        <f t="shared" si="1"/>
        <v/>
      </c>
      <c r="AI31" s="555" t="str">
        <f>IF(ISNUMBER(AH31),100*AH31/(#REF!),"")</f>
        <v/>
      </c>
      <c r="AJ31" s="553">
        <v>250</v>
      </c>
      <c r="AK31" s="547"/>
      <c r="AL31" s="547"/>
      <c r="AM31" s="556"/>
      <c r="AN31" s="557"/>
      <c r="AO31" s="553" t="s">
        <v>465</v>
      </c>
      <c r="AP31" s="547"/>
      <c r="AQ31" s="553" t="s">
        <v>454</v>
      </c>
      <c r="AR31" s="553" t="s">
        <v>465</v>
      </c>
      <c r="AS31" s="575"/>
      <c r="AT31" s="550"/>
      <c r="AU31" s="557"/>
      <c r="AV31" s="557"/>
      <c r="AW31" s="557"/>
      <c r="AX31" s="547"/>
      <c r="AY31" s="553"/>
      <c r="AZ31" s="547"/>
      <c r="BA31" s="547"/>
      <c r="BB31" s="553"/>
      <c r="BC31" s="297"/>
      <c r="BD31" s="558"/>
      <c r="BE31" s="547"/>
      <c r="BF31" s="551"/>
      <c r="BG31" s="552"/>
      <c r="BH31" s="553"/>
      <c r="BI31" s="555"/>
      <c r="BJ31" s="450"/>
      <c r="BK31" s="579"/>
      <c r="BL31" s="552"/>
      <c r="BM31" s="553"/>
      <c r="BN31" s="553"/>
      <c r="BO31" s="553"/>
      <c r="BP31" s="553"/>
      <c r="BQ31" s="576"/>
      <c r="BR31" s="559"/>
      <c r="BS31" s="550"/>
      <c r="BT31" s="560"/>
      <c r="BU31" s="561"/>
      <c r="BV31" s="577" t="s">
        <v>466</v>
      </c>
      <c r="BW31" s="550"/>
      <c r="BX31" s="547"/>
      <c r="BY31" s="547"/>
      <c r="BZ31" s="547"/>
      <c r="CA31" s="547"/>
      <c r="CB31" s="547"/>
      <c r="CC31" s="547"/>
      <c r="CD31" s="562"/>
      <c r="CE31" s="550"/>
      <c r="CF31" s="547"/>
      <c r="CG31" s="547"/>
      <c r="CH31" s="551"/>
      <c r="CI31" s="550"/>
      <c r="CJ31" s="551"/>
      <c r="CK31" s="558"/>
      <c r="CL31" s="547"/>
      <c r="CM31" s="547"/>
      <c r="CN31" s="551"/>
      <c r="CO31" s="558"/>
      <c r="CP31" s="547"/>
      <c r="CQ31" s="547"/>
      <c r="CR31" s="547"/>
      <c r="CS31" s="551"/>
      <c r="CT31" s="550"/>
      <c r="CU31" s="563"/>
      <c r="CV31" s="343"/>
      <c r="CW31" s="564"/>
      <c r="CX31" s="565"/>
      <c r="CY31" s="566"/>
      <c r="CZ31" s="550"/>
      <c r="DA31" s="547"/>
      <c r="DB31" s="567"/>
      <c r="DC31" s="344"/>
      <c r="DD31" s="568"/>
      <c r="DE31" s="555"/>
      <c r="DF31" s="551"/>
    </row>
    <row r="32" spans="1:110" ht="20.100000000000001" customHeight="1" thickBot="1" x14ac:dyDescent="0.25">
      <c r="A32" s="573">
        <v>22</v>
      </c>
      <c r="B32" s="545" t="s">
        <v>351</v>
      </c>
      <c r="C32" s="569">
        <v>308</v>
      </c>
      <c r="D32" s="600" t="s">
        <v>350</v>
      </c>
      <c r="E32" s="544" t="s">
        <v>498</v>
      </c>
      <c r="F32" s="570" t="s">
        <v>352</v>
      </c>
      <c r="G32" s="571" t="s">
        <v>499</v>
      </c>
      <c r="H32" s="599" t="s">
        <v>497</v>
      </c>
      <c r="I32" s="574" t="s">
        <v>521</v>
      </c>
      <c r="J32" s="546"/>
      <c r="K32" s="580" t="s">
        <v>467</v>
      </c>
      <c r="L32" s="578"/>
      <c r="M32" s="572"/>
      <c r="N32" s="548"/>
      <c r="O32" s="549"/>
      <c r="P32" s="550"/>
      <c r="Q32" s="531"/>
      <c r="R32" s="531"/>
      <c r="S32" s="547"/>
      <c r="T32" s="547"/>
      <c r="U32" s="547"/>
      <c r="V32" s="547"/>
      <c r="W32" s="547"/>
      <c r="X32" s="547"/>
      <c r="Y32" s="547"/>
      <c r="Z32" s="547"/>
      <c r="AA32" s="551"/>
      <c r="AB32" s="552"/>
      <c r="AC32" s="547"/>
      <c r="AD32" s="547"/>
      <c r="AE32" s="547"/>
      <c r="AF32" s="547"/>
      <c r="AG32" s="553"/>
      <c r="AH32" s="554" t="str">
        <f t="shared" si="1"/>
        <v/>
      </c>
      <c r="AI32" s="555" t="str">
        <f>IF(ISNUMBER(AH32),100*AH32/(#REF!),"")</f>
        <v/>
      </c>
      <c r="AJ32" s="553">
        <v>150</v>
      </c>
      <c r="AK32" s="547"/>
      <c r="AL32" s="547"/>
      <c r="AM32" s="556"/>
      <c r="AN32" s="557"/>
      <c r="AO32" s="553" t="s">
        <v>468</v>
      </c>
      <c r="AP32" s="547" t="s">
        <v>469</v>
      </c>
      <c r="AQ32" s="553" t="s">
        <v>448</v>
      </c>
      <c r="AR32" s="553" t="s">
        <v>468</v>
      </c>
      <c r="AS32" s="575"/>
      <c r="AT32" s="550"/>
      <c r="AU32" s="557"/>
      <c r="AV32" s="557"/>
      <c r="AW32" s="557"/>
      <c r="AX32" s="547"/>
      <c r="AY32" s="553"/>
      <c r="AZ32" s="547"/>
      <c r="BA32" s="547"/>
      <c r="BB32" s="553"/>
      <c r="BC32" s="297"/>
      <c r="BD32" s="558"/>
      <c r="BE32" s="547"/>
      <c r="BF32" s="551"/>
      <c r="BG32" s="552"/>
      <c r="BH32" s="553"/>
      <c r="BI32" s="555"/>
      <c r="BJ32" s="450"/>
      <c r="BK32" s="579"/>
      <c r="BL32" s="552"/>
      <c r="BM32" s="553"/>
      <c r="BN32" s="553"/>
      <c r="BO32" s="553"/>
      <c r="BP32" s="553"/>
      <c r="BQ32" s="576">
        <v>1</v>
      </c>
      <c r="BR32" s="559">
        <v>1</v>
      </c>
      <c r="BS32" s="550"/>
      <c r="BT32" s="560"/>
      <c r="BU32" s="561"/>
      <c r="BV32" s="577"/>
      <c r="BW32" s="550"/>
      <c r="BX32" s="547"/>
      <c r="BY32" s="547"/>
      <c r="BZ32" s="547"/>
      <c r="CA32" s="547"/>
      <c r="CB32" s="547"/>
      <c r="CC32" s="547"/>
      <c r="CD32" s="562"/>
      <c r="CE32" s="550"/>
      <c r="CF32" s="547"/>
      <c r="CG32" s="547"/>
      <c r="CH32" s="551"/>
      <c r="CI32" s="550"/>
      <c r="CJ32" s="551"/>
      <c r="CK32" s="558"/>
      <c r="CL32" s="547"/>
      <c r="CM32" s="547"/>
      <c r="CN32" s="551"/>
      <c r="CO32" s="558"/>
      <c r="CP32" s="547"/>
      <c r="CQ32" s="547"/>
      <c r="CR32" s="547"/>
      <c r="CS32" s="551"/>
      <c r="CT32" s="550"/>
      <c r="CU32" s="563"/>
      <c r="CV32" s="343"/>
      <c r="CW32" s="564"/>
      <c r="CX32" s="565"/>
      <c r="CY32" s="566"/>
      <c r="CZ32" s="550"/>
      <c r="DA32" s="547"/>
      <c r="DB32" s="567"/>
      <c r="DC32" s="344"/>
      <c r="DD32" s="568"/>
      <c r="DE32" s="555"/>
      <c r="DF32" s="551"/>
    </row>
    <row r="33" spans="1:110" ht="20.100000000000001" customHeight="1" thickBot="1" x14ac:dyDescent="0.25">
      <c r="A33" s="573">
        <v>23</v>
      </c>
      <c r="B33" s="545" t="s">
        <v>351</v>
      </c>
      <c r="C33" s="569">
        <v>308</v>
      </c>
      <c r="D33" s="600" t="s">
        <v>350</v>
      </c>
      <c r="E33" s="544" t="s">
        <v>498</v>
      </c>
      <c r="F33" s="570" t="s">
        <v>352</v>
      </c>
      <c r="G33" s="571" t="s">
        <v>499</v>
      </c>
      <c r="H33" s="599" t="s">
        <v>497</v>
      </c>
      <c r="I33" s="574" t="s">
        <v>522</v>
      </c>
      <c r="J33" s="546"/>
      <c r="K33" s="580" t="s">
        <v>467</v>
      </c>
      <c r="L33" s="578"/>
      <c r="M33" s="572"/>
      <c r="N33" s="548"/>
      <c r="O33" s="549"/>
      <c r="P33" s="550"/>
      <c r="Q33" s="531"/>
      <c r="R33" s="531"/>
      <c r="S33" s="547"/>
      <c r="T33" s="547"/>
      <c r="U33" s="547"/>
      <c r="V33" s="547"/>
      <c r="W33" s="547"/>
      <c r="X33" s="547"/>
      <c r="Y33" s="547"/>
      <c r="Z33" s="547"/>
      <c r="AA33" s="551"/>
      <c r="AB33" s="552"/>
      <c r="AC33" s="547"/>
      <c r="AD33" s="547"/>
      <c r="AE33" s="547"/>
      <c r="AF33" s="547"/>
      <c r="AG33" s="553"/>
      <c r="AH33" s="554" t="str">
        <f t="shared" si="1"/>
        <v/>
      </c>
      <c r="AI33" s="555" t="str">
        <f>IF(ISNUMBER(AH33),100*AH33/(#REF!),"")</f>
        <v/>
      </c>
      <c r="AJ33" s="553">
        <v>100</v>
      </c>
      <c r="AK33" s="547"/>
      <c r="AL33" s="547"/>
      <c r="AM33" s="556"/>
      <c r="AN33" s="557"/>
      <c r="AO33" s="553" t="s">
        <v>470</v>
      </c>
      <c r="AP33" s="547" t="s">
        <v>469</v>
      </c>
      <c r="AQ33" s="553" t="s">
        <v>448</v>
      </c>
      <c r="AR33" s="553" t="s">
        <v>470</v>
      </c>
      <c r="AS33" s="575"/>
      <c r="AT33" s="550"/>
      <c r="AU33" s="557"/>
      <c r="AV33" s="557"/>
      <c r="AW33" s="557"/>
      <c r="AX33" s="547"/>
      <c r="AY33" s="553"/>
      <c r="AZ33" s="547"/>
      <c r="BA33" s="547"/>
      <c r="BB33" s="553"/>
      <c r="BC33" s="297"/>
      <c r="BD33" s="558"/>
      <c r="BE33" s="547"/>
      <c r="BF33" s="551"/>
      <c r="BG33" s="552"/>
      <c r="BH33" s="553"/>
      <c r="BI33" s="555"/>
      <c r="BJ33" s="450"/>
      <c r="BK33" s="579"/>
      <c r="BL33" s="552"/>
      <c r="BM33" s="553"/>
      <c r="BN33" s="553"/>
      <c r="BO33" s="553"/>
      <c r="BP33" s="553"/>
      <c r="BQ33" s="576">
        <v>1</v>
      </c>
      <c r="BR33" s="559">
        <v>1</v>
      </c>
      <c r="BS33" s="550"/>
      <c r="BT33" s="560"/>
      <c r="BU33" s="561"/>
      <c r="BV33" s="577"/>
      <c r="BW33" s="550"/>
      <c r="BX33" s="547"/>
      <c r="BY33" s="547"/>
      <c r="BZ33" s="547"/>
      <c r="CA33" s="547"/>
      <c r="CB33" s="547"/>
      <c r="CC33" s="547"/>
      <c r="CD33" s="562"/>
      <c r="CE33" s="550"/>
      <c r="CF33" s="547"/>
      <c r="CG33" s="547"/>
      <c r="CH33" s="551"/>
      <c r="CI33" s="550"/>
      <c r="CJ33" s="551"/>
      <c r="CK33" s="558"/>
      <c r="CL33" s="547"/>
      <c r="CM33" s="547"/>
      <c r="CN33" s="551"/>
      <c r="CO33" s="558"/>
      <c r="CP33" s="547"/>
      <c r="CQ33" s="547"/>
      <c r="CR33" s="547"/>
      <c r="CS33" s="551"/>
      <c r="CT33" s="550"/>
      <c r="CU33" s="563"/>
      <c r="CV33" s="343"/>
      <c r="CW33" s="564"/>
      <c r="CX33" s="565"/>
      <c r="CY33" s="566"/>
      <c r="CZ33" s="550"/>
      <c r="DA33" s="547"/>
      <c r="DB33" s="567"/>
      <c r="DC33" s="344"/>
      <c r="DD33" s="568"/>
      <c r="DE33" s="555"/>
      <c r="DF33" s="551"/>
    </row>
    <row r="34" spans="1:110" ht="20.100000000000001" customHeight="1" thickBot="1" x14ac:dyDescent="0.25">
      <c r="A34" s="573">
        <v>24</v>
      </c>
      <c r="B34" s="545" t="s">
        <v>351</v>
      </c>
      <c r="C34" s="569">
        <v>308</v>
      </c>
      <c r="D34" s="600" t="s">
        <v>350</v>
      </c>
      <c r="E34" s="544" t="s">
        <v>498</v>
      </c>
      <c r="F34" s="570" t="s">
        <v>352</v>
      </c>
      <c r="G34" s="571" t="s">
        <v>499</v>
      </c>
      <c r="H34" s="599" t="s">
        <v>497</v>
      </c>
      <c r="I34" s="574" t="s">
        <v>523</v>
      </c>
      <c r="J34" s="546"/>
      <c r="K34" s="580" t="s">
        <v>472</v>
      </c>
      <c r="L34" s="578"/>
      <c r="M34" s="572"/>
      <c r="N34" s="548"/>
      <c r="O34" s="549"/>
      <c r="P34" s="550"/>
      <c r="Q34" s="531"/>
      <c r="R34" s="531"/>
      <c r="S34" s="547"/>
      <c r="T34" s="547"/>
      <c r="U34" s="547"/>
      <c r="V34" s="547"/>
      <c r="W34" s="547"/>
      <c r="X34" s="547"/>
      <c r="Y34" s="547"/>
      <c r="Z34" s="547"/>
      <c r="AA34" s="551"/>
      <c r="AB34" s="552"/>
      <c r="AC34" s="547"/>
      <c r="AD34" s="547"/>
      <c r="AE34" s="547"/>
      <c r="AF34" s="547"/>
      <c r="AG34" s="553"/>
      <c r="AH34" s="554" t="str">
        <f t="shared" si="1"/>
        <v/>
      </c>
      <c r="AI34" s="555" t="str">
        <f>IF(ISNUMBER(AH34),100*AH34/(#REF!),"")</f>
        <v/>
      </c>
      <c r="AJ34" s="553"/>
      <c r="AK34" s="547"/>
      <c r="AL34" s="547"/>
      <c r="AM34" s="556"/>
      <c r="AN34" s="557"/>
      <c r="AO34" s="553" t="s">
        <v>473</v>
      </c>
      <c r="AP34" s="547"/>
      <c r="AQ34" s="553" t="s">
        <v>474</v>
      </c>
      <c r="AR34" s="553" t="s">
        <v>473</v>
      </c>
      <c r="AS34" s="575"/>
      <c r="AT34" s="550"/>
      <c r="AU34" s="557"/>
      <c r="AV34" s="557"/>
      <c r="AW34" s="557"/>
      <c r="AX34" s="547"/>
      <c r="AY34" s="553"/>
      <c r="AZ34" s="547"/>
      <c r="BA34" s="547"/>
      <c r="BB34" s="553"/>
      <c r="BC34" s="297"/>
      <c r="BD34" s="558"/>
      <c r="BE34" s="547"/>
      <c r="BF34" s="551"/>
      <c r="BG34" s="552"/>
      <c r="BH34" s="553"/>
      <c r="BI34" s="555"/>
      <c r="BJ34" s="450"/>
      <c r="BK34" s="579"/>
      <c r="BL34" s="552">
        <v>1</v>
      </c>
      <c r="BM34" s="553"/>
      <c r="BN34" s="553"/>
      <c r="BO34" s="553"/>
      <c r="BP34" s="553"/>
      <c r="BQ34" s="576"/>
      <c r="BR34" s="559"/>
      <c r="BS34" s="550"/>
      <c r="BT34" s="560"/>
      <c r="BU34" s="561"/>
      <c r="BV34" s="577"/>
      <c r="BW34" s="550"/>
      <c r="BX34" s="547"/>
      <c r="BY34" s="547"/>
      <c r="BZ34" s="547"/>
      <c r="CA34" s="547"/>
      <c r="CB34" s="547"/>
      <c r="CC34" s="547"/>
      <c r="CD34" s="562"/>
      <c r="CE34" s="550"/>
      <c r="CF34" s="547"/>
      <c r="CG34" s="547"/>
      <c r="CH34" s="551"/>
      <c r="CI34" s="550"/>
      <c r="CJ34" s="551"/>
      <c r="CK34" s="558"/>
      <c r="CL34" s="547"/>
      <c r="CM34" s="547"/>
      <c r="CN34" s="551"/>
      <c r="CO34" s="558"/>
      <c r="CP34" s="547"/>
      <c r="CQ34" s="547"/>
      <c r="CR34" s="547"/>
      <c r="CS34" s="551"/>
      <c r="CT34" s="550"/>
      <c r="CU34" s="563"/>
      <c r="CV34" s="343"/>
      <c r="CW34" s="564"/>
      <c r="CX34" s="565"/>
      <c r="CY34" s="566"/>
      <c r="CZ34" s="550"/>
      <c r="DA34" s="547"/>
      <c r="DB34" s="567"/>
      <c r="DC34" s="344"/>
      <c r="DD34" s="568"/>
      <c r="DE34" s="555"/>
      <c r="DF34" s="551"/>
    </row>
    <row r="35" spans="1:110" ht="20.100000000000001" customHeight="1" thickBot="1" x14ac:dyDescent="0.25">
      <c r="A35" s="573">
        <v>25</v>
      </c>
      <c r="B35" s="545" t="s">
        <v>351</v>
      </c>
      <c r="C35" s="569">
        <v>308</v>
      </c>
      <c r="D35" s="600" t="s">
        <v>350</v>
      </c>
      <c r="E35" s="544" t="s">
        <v>498</v>
      </c>
      <c r="F35" s="570" t="s">
        <v>352</v>
      </c>
      <c r="G35" s="571" t="s">
        <v>499</v>
      </c>
      <c r="H35" s="599" t="s">
        <v>497</v>
      </c>
      <c r="I35" s="574" t="s">
        <v>524</v>
      </c>
      <c r="J35" s="546"/>
      <c r="K35" s="580" t="s">
        <v>475</v>
      </c>
      <c r="L35" s="578"/>
      <c r="M35" s="572"/>
      <c r="N35" s="548"/>
      <c r="O35" s="549"/>
      <c r="P35" s="550"/>
      <c r="Q35" s="531"/>
      <c r="R35" s="531"/>
      <c r="S35" s="547"/>
      <c r="T35" s="547"/>
      <c r="U35" s="547"/>
      <c r="V35" s="547"/>
      <c r="W35" s="547"/>
      <c r="X35" s="547"/>
      <c r="Y35" s="547"/>
      <c r="Z35" s="547"/>
      <c r="AA35" s="551"/>
      <c r="AB35" s="552"/>
      <c r="AC35" s="547"/>
      <c r="AD35" s="547"/>
      <c r="AE35" s="547"/>
      <c r="AF35" s="547"/>
      <c r="AG35" s="553"/>
      <c r="AH35" s="554" t="str">
        <f t="shared" si="1"/>
        <v/>
      </c>
      <c r="AI35" s="555" t="str">
        <f>IF(ISNUMBER(AH35),100*AH35/(#REF!),"")</f>
        <v/>
      </c>
      <c r="AJ35" s="553"/>
      <c r="AK35" s="547"/>
      <c r="AL35" s="547"/>
      <c r="AM35" s="556"/>
      <c r="AN35" s="557"/>
      <c r="AO35" s="553" t="s">
        <v>476</v>
      </c>
      <c r="AP35" s="547"/>
      <c r="AQ35" s="553" t="s">
        <v>474</v>
      </c>
      <c r="AR35" s="553" t="s">
        <v>476</v>
      </c>
      <c r="AS35" s="575"/>
      <c r="AT35" s="550"/>
      <c r="AU35" s="557"/>
      <c r="AV35" s="557"/>
      <c r="AW35" s="557"/>
      <c r="AX35" s="547"/>
      <c r="AY35" s="553"/>
      <c r="AZ35" s="547"/>
      <c r="BA35" s="547"/>
      <c r="BB35" s="553"/>
      <c r="BC35" s="297"/>
      <c r="BD35" s="558"/>
      <c r="BE35" s="547"/>
      <c r="BF35" s="551"/>
      <c r="BG35" s="552"/>
      <c r="BH35" s="553"/>
      <c r="BI35" s="555"/>
      <c r="BJ35" s="450"/>
      <c r="BK35" s="579"/>
      <c r="BL35" s="552"/>
      <c r="BM35" s="553"/>
      <c r="BN35" s="553"/>
      <c r="BO35" s="553"/>
      <c r="BP35" s="553"/>
      <c r="BQ35" s="576"/>
      <c r="BR35" s="559"/>
      <c r="BS35" s="550"/>
      <c r="BT35" s="560"/>
      <c r="BU35" s="561"/>
      <c r="BV35" s="577"/>
      <c r="BW35" s="550"/>
      <c r="BX35" s="547"/>
      <c r="BY35" s="547"/>
      <c r="BZ35" s="547"/>
      <c r="CA35" s="547"/>
      <c r="CB35" s="547"/>
      <c r="CC35" s="547"/>
      <c r="CD35" s="562"/>
      <c r="CE35" s="550"/>
      <c r="CF35" s="547"/>
      <c r="CG35" s="547"/>
      <c r="CH35" s="551"/>
      <c r="CI35" s="550"/>
      <c r="CJ35" s="551"/>
      <c r="CK35" s="558"/>
      <c r="CL35" s="547"/>
      <c r="CM35" s="547"/>
      <c r="CN35" s="551"/>
      <c r="CO35" s="558"/>
      <c r="CP35" s="547"/>
      <c r="CQ35" s="547"/>
      <c r="CR35" s="547"/>
      <c r="CS35" s="551"/>
      <c r="CT35" s="550"/>
      <c r="CU35" s="563"/>
      <c r="CV35" s="343"/>
      <c r="CW35" s="564"/>
      <c r="CX35" s="565"/>
      <c r="CY35" s="566"/>
      <c r="CZ35" s="550"/>
      <c r="DA35" s="547"/>
      <c r="DB35" s="567"/>
      <c r="DC35" s="344"/>
      <c r="DD35" s="568"/>
      <c r="DE35" s="555"/>
      <c r="DF35" s="551"/>
    </row>
    <row r="36" spans="1:110" ht="20.100000000000001" customHeight="1" thickBot="1" x14ac:dyDescent="0.25">
      <c r="A36" s="573">
        <v>26</v>
      </c>
      <c r="B36" s="545" t="s">
        <v>351</v>
      </c>
      <c r="C36" s="569">
        <v>308</v>
      </c>
      <c r="D36" s="600" t="s">
        <v>350</v>
      </c>
      <c r="E36" s="544" t="s">
        <v>498</v>
      </c>
      <c r="F36" s="570" t="s">
        <v>352</v>
      </c>
      <c r="G36" s="571" t="s">
        <v>499</v>
      </c>
      <c r="H36" s="599" t="s">
        <v>497</v>
      </c>
      <c r="I36" s="574" t="s">
        <v>525</v>
      </c>
      <c r="J36" s="546"/>
      <c r="K36" s="580" t="s">
        <v>472</v>
      </c>
      <c r="L36" s="578"/>
      <c r="M36" s="572"/>
      <c r="N36" s="548"/>
      <c r="O36" s="549"/>
      <c r="P36" s="550"/>
      <c r="Q36" s="531"/>
      <c r="R36" s="531"/>
      <c r="S36" s="547"/>
      <c r="T36" s="547"/>
      <c r="U36" s="547"/>
      <c r="V36" s="547"/>
      <c r="W36" s="547"/>
      <c r="X36" s="547"/>
      <c r="Y36" s="547"/>
      <c r="Z36" s="547"/>
      <c r="AA36" s="551"/>
      <c r="AB36" s="552"/>
      <c r="AC36" s="547"/>
      <c r="AD36" s="547"/>
      <c r="AE36" s="547"/>
      <c r="AF36" s="547"/>
      <c r="AG36" s="553"/>
      <c r="AH36" s="554" t="str">
        <f t="shared" si="1"/>
        <v/>
      </c>
      <c r="AI36" s="555" t="str">
        <f>IF(ISNUMBER(AH36),100*AH36/(#REF!),"")</f>
        <v/>
      </c>
      <c r="AJ36" s="553"/>
      <c r="AK36" s="547"/>
      <c r="AL36" s="547"/>
      <c r="AM36" s="556"/>
      <c r="AN36" s="557"/>
      <c r="AO36" s="553" t="s">
        <v>473</v>
      </c>
      <c r="AP36" s="547"/>
      <c r="AQ36" s="553" t="s">
        <v>474</v>
      </c>
      <c r="AR36" s="553" t="s">
        <v>473</v>
      </c>
      <c r="AS36" s="575"/>
      <c r="AT36" s="550"/>
      <c r="AU36" s="557"/>
      <c r="AV36" s="557"/>
      <c r="AW36" s="557"/>
      <c r="AX36" s="547"/>
      <c r="AY36" s="553"/>
      <c r="AZ36" s="547"/>
      <c r="BA36" s="547"/>
      <c r="BB36" s="553"/>
      <c r="BC36" s="297"/>
      <c r="BD36" s="558"/>
      <c r="BE36" s="547"/>
      <c r="BF36" s="551"/>
      <c r="BG36" s="552"/>
      <c r="BH36" s="553"/>
      <c r="BI36" s="555"/>
      <c r="BJ36" s="450"/>
      <c r="BK36" s="579"/>
      <c r="BL36" s="552">
        <v>1</v>
      </c>
      <c r="BM36" s="553"/>
      <c r="BN36" s="553"/>
      <c r="BO36" s="553"/>
      <c r="BP36" s="553"/>
      <c r="BQ36" s="576"/>
      <c r="BR36" s="559"/>
      <c r="BS36" s="550"/>
      <c r="BT36" s="560"/>
      <c r="BU36" s="561"/>
      <c r="BV36" s="577"/>
      <c r="BW36" s="550"/>
      <c r="BX36" s="547"/>
      <c r="BY36" s="547"/>
      <c r="BZ36" s="547"/>
      <c r="CA36" s="547"/>
      <c r="CB36" s="547"/>
      <c r="CC36" s="547"/>
      <c r="CD36" s="562"/>
      <c r="CE36" s="550"/>
      <c r="CF36" s="547"/>
      <c r="CG36" s="547"/>
      <c r="CH36" s="551"/>
      <c r="CI36" s="550"/>
      <c r="CJ36" s="551"/>
      <c r="CK36" s="558"/>
      <c r="CL36" s="547"/>
      <c r="CM36" s="547"/>
      <c r="CN36" s="551"/>
      <c r="CO36" s="558"/>
      <c r="CP36" s="547"/>
      <c r="CQ36" s="547"/>
      <c r="CR36" s="547"/>
      <c r="CS36" s="551"/>
      <c r="CT36" s="550"/>
      <c r="CU36" s="563"/>
      <c r="CV36" s="343"/>
      <c r="CW36" s="564"/>
      <c r="CX36" s="565"/>
      <c r="CY36" s="566"/>
      <c r="CZ36" s="550"/>
      <c r="DA36" s="547"/>
      <c r="DB36" s="567"/>
      <c r="DC36" s="344"/>
      <c r="DD36" s="568"/>
      <c r="DE36" s="555"/>
      <c r="DF36" s="551"/>
    </row>
    <row r="37" spans="1:110" ht="20.100000000000001" customHeight="1" thickBot="1" x14ac:dyDescent="0.25">
      <c r="A37" s="573">
        <v>27</v>
      </c>
      <c r="B37" s="545" t="s">
        <v>351</v>
      </c>
      <c r="C37" s="569">
        <v>308</v>
      </c>
      <c r="D37" s="600" t="s">
        <v>350</v>
      </c>
      <c r="E37" s="544" t="s">
        <v>498</v>
      </c>
      <c r="F37" s="570" t="s">
        <v>352</v>
      </c>
      <c r="G37" s="571" t="s">
        <v>499</v>
      </c>
      <c r="H37" s="599" t="s">
        <v>497</v>
      </c>
      <c r="I37" s="574" t="s">
        <v>526</v>
      </c>
      <c r="J37" s="546"/>
      <c r="K37" s="580" t="s">
        <v>475</v>
      </c>
      <c r="L37" s="578"/>
      <c r="M37" s="572"/>
      <c r="N37" s="548"/>
      <c r="O37" s="549"/>
      <c r="P37" s="550"/>
      <c r="Q37" s="531"/>
      <c r="R37" s="531"/>
      <c r="S37" s="547"/>
      <c r="T37" s="547"/>
      <c r="U37" s="547"/>
      <c r="V37" s="547"/>
      <c r="W37" s="547"/>
      <c r="X37" s="547"/>
      <c r="Y37" s="547"/>
      <c r="Z37" s="547"/>
      <c r="AA37" s="551"/>
      <c r="AB37" s="552"/>
      <c r="AC37" s="547"/>
      <c r="AD37" s="547"/>
      <c r="AE37" s="547"/>
      <c r="AF37" s="547"/>
      <c r="AG37" s="553"/>
      <c r="AH37" s="554" t="str">
        <f t="shared" si="1"/>
        <v/>
      </c>
      <c r="AI37" s="555" t="str">
        <f>IF(ISNUMBER(AH37),100*AH37/(#REF!),"")</f>
        <v/>
      </c>
      <c r="AJ37" s="553"/>
      <c r="AK37" s="547"/>
      <c r="AL37" s="547"/>
      <c r="AM37" s="556"/>
      <c r="AN37" s="557"/>
      <c r="AO37" s="553" t="s">
        <v>476</v>
      </c>
      <c r="AP37" s="547"/>
      <c r="AQ37" s="553" t="s">
        <v>474</v>
      </c>
      <c r="AR37" s="553" t="s">
        <v>476</v>
      </c>
      <c r="AS37" s="575"/>
      <c r="AT37" s="550"/>
      <c r="AU37" s="557"/>
      <c r="AV37" s="557"/>
      <c r="AW37" s="557"/>
      <c r="AX37" s="547"/>
      <c r="AY37" s="553"/>
      <c r="AZ37" s="547"/>
      <c r="BA37" s="547"/>
      <c r="BB37" s="553"/>
      <c r="BC37" s="297"/>
      <c r="BD37" s="558"/>
      <c r="BE37" s="547"/>
      <c r="BF37" s="551"/>
      <c r="BG37" s="552"/>
      <c r="BH37" s="553"/>
      <c r="BI37" s="555"/>
      <c r="BJ37" s="450"/>
      <c r="BK37" s="579"/>
      <c r="BL37" s="552"/>
      <c r="BM37" s="553"/>
      <c r="BN37" s="553"/>
      <c r="BO37" s="553"/>
      <c r="BP37" s="553"/>
      <c r="BQ37" s="576"/>
      <c r="BR37" s="559"/>
      <c r="BS37" s="550"/>
      <c r="BT37" s="560"/>
      <c r="BU37" s="561"/>
      <c r="BV37" s="577"/>
      <c r="BW37" s="550"/>
      <c r="BX37" s="547"/>
      <c r="BY37" s="547"/>
      <c r="BZ37" s="547"/>
      <c r="CA37" s="547"/>
      <c r="CB37" s="547"/>
      <c r="CC37" s="547"/>
      <c r="CD37" s="562"/>
      <c r="CE37" s="550"/>
      <c r="CF37" s="547"/>
      <c r="CG37" s="547"/>
      <c r="CH37" s="551"/>
      <c r="CI37" s="550"/>
      <c r="CJ37" s="551"/>
      <c r="CK37" s="558"/>
      <c r="CL37" s="547"/>
      <c r="CM37" s="547"/>
      <c r="CN37" s="551"/>
      <c r="CO37" s="558"/>
      <c r="CP37" s="547"/>
      <c r="CQ37" s="547"/>
      <c r="CR37" s="547"/>
      <c r="CS37" s="551"/>
      <c r="CT37" s="550"/>
      <c r="CU37" s="563"/>
      <c r="CV37" s="343"/>
      <c r="CW37" s="564"/>
      <c r="CX37" s="565"/>
      <c r="CY37" s="566"/>
      <c r="CZ37" s="550"/>
      <c r="DA37" s="547"/>
      <c r="DB37" s="567"/>
      <c r="DC37" s="344"/>
      <c r="DD37" s="568"/>
      <c r="DE37" s="555"/>
      <c r="DF37" s="551"/>
    </row>
    <row r="38" spans="1:110" ht="20.100000000000001" customHeight="1" thickBot="1" x14ac:dyDescent="0.25">
      <c r="A38" s="573">
        <v>28</v>
      </c>
      <c r="B38" s="545" t="s">
        <v>351</v>
      </c>
      <c r="C38" s="569">
        <v>308</v>
      </c>
      <c r="D38" s="600" t="s">
        <v>350</v>
      </c>
      <c r="E38" s="544" t="s">
        <v>527</v>
      </c>
      <c r="F38" s="570" t="s">
        <v>352</v>
      </c>
      <c r="G38" s="571" t="s">
        <v>527</v>
      </c>
      <c r="H38" s="599" t="s">
        <v>497</v>
      </c>
      <c r="I38" s="574" t="s">
        <v>527</v>
      </c>
      <c r="J38" s="546"/>
      <c r="K38" s="580"/>
      <c r="L38" s="578"/>
      <c r="M38" s="572"/>
      <c r="N38" s="548"/>
      <c r="O38" s="549"/>
      <c r="P38" s="550"/>
      <c r="Q38" s="531"/>
      <c r="R38" s="531"/>
      <c r="S38" s="547"/>
      <c r="T38" s="547"/>
      <c r="U38" s="547"/>
      <c r="V38" s="547"/>
      <c r="W38" s="547"/>
      <c r="X38" s="547"/>
      <c r="Y38" s="547"/>
      <c r="Z38" s="547"/>
      <c r="AA38" s="551"/>
      <c r="AB38" s="552"/>
      <c r="AC38" s="547"/>
      <c r="AD38" s="547"/>
      <c r="AE38" s="547"/>
      <c r="AF38" s="547"/>
      <c r="AG38" s="553"/>
      <c r="AH38" s="554" t="str">
        <f t="shared" si="1"/>
        <v/>
      </c>
      <c r="AI38" s="555" t="str">
        <f>IF(ISNUMBER(AH38),100*AH38/(#REF!),"")</f>
        <v/>
      </c>
      <c r="AJ38" s="553"/>
      <c r="AK38" s="547"/>
      <c r="AL38" s="547"/>
      <c r="AM38" s="556"/>
      <c r="AN38" s="557"/>
      <c r="AO38" s="553"/>
      <c r="AP38" s="547"/>
      <c r="AQ38" s="553"/>
      <c r="AR38" s="553"/>
      <c r="AS38" s="575"/>
      <c r="AT38" s="550"/>
      <c r="AU38" s="557"/>
      <c r="AV38" s="557"/>
      <c r="AW38" s="557"/>
      <c r="AX38" s="547"/>
      <c r="AY38" s="553"/>
      <c r="AZ38" s="547"/>
      <c r="BA38" s="547"/>
      <c r="BB38" s="553"/>
      <c r="BC38" s="297"/>
      <c r="BD38" s="558"/>
      <c r="BE38" s="547"/>
      <c r="BF38" s="551"/>
      <c r="BG38" s="552"/>
      <c r="BH38" s="553"/>
      <c r="BI38" s="555"/>
      <c r="BJ38" s="450"/>
      <c r="BK38" s="579"/>
      <c r="BL38" s="552"/>
      <c r="BM38" s="553"/>
      <c r="BN38" s="553"/>
      <c r="BO38" s="553"/>
      <c r="BP38" s="553"/>
      <c r="BQ38" s="576"/>
      <c r="BR38" s="559"/>
      <c r="BS38" s="550"/>
      <c r="BT38" s="560"/>
      <c r="BU38" s="561"/>
      <c r="BV38" s="577"/>
      <c r="BW38" s="550"/>
      <c r="BX38" s="547"/>
      <c r="BY38" s="547"/>
      <c r="BZ38" s="547"/>
      <c r="CA38" s="547"/>
      <c r="CB38" s="547"/>
      <c r="CC38" s="547"/>
      <c r="CD38" s="562"/>
      <c r="CE38" s="550"/>
      <c r="CF38" s="547"/>
      <c r="CG38" s="547"/>
      <c r="CH38" s="551"/>
      <c r="CI38" s="550"/>
      <c r="CJ38" s="551"/>
      <c r="CK38" s="558"/>
      <c r="CL38" s="547"/>
      <c r="CM38" s="547"/>
      <c r="CN38" s="551"/>
      <c r="CO38" s="558"/>
      <c r="CP38" s="547"/>
      <c r="CQ38" s="547"/>
      <c r="CR38" s="547"/>
      <c r="CS38" s="551"/>
      <c r="CT38" s="550"/>
      <c r="CU38" s="563"/>
      <c r="CV38" s="343"/>
      <c r="CW38" s="564"/>
      <c r="CX38" s="565"/>
      <c r="CY38" s="566"/>
      <c r="CZ38" s="550"/>
      <c r="DA38" s="547"/>
      <c r="DB38" s="567"/>
      <c r="DC38" s="344"/>
      <c r="DD38" s="568"/>
      <c r="DE38" s="555"/>
      <c r="DF38" s="551"/>
    </row>
    <row r="39" spans="1:110" ht="20.100000000000001" customHeight="1" thickBot="1" x14ac:dyDescent="0.25">
      <c r="A39" s="573">
        <v>29</v>
      </c>
      <c r="B39" s="545" t="s">
        <v>351</v>
      </c>
      <c r="C39" s="569">
        <v>308</v>
      </c>
      <c r="D39" s="600" t="s">
        <v>350</v>
      </c>
      <c r="E39" s="544" t="s">
        <v>528</v>
      </c>
      <c r="F39" s="570" t="s">
        <v>352</v>
      </c>
      <c r="G39" s="571" t="s">
        <v>529</v>
      </c>
      <c r="H39" s="599" t="s">
        <v>497</v>
      </c>
      <c r="I39" s="574" t="s">
        <v>530</v>
      </c>
      <c r="J39" s="546"/>
      <c r="K39" s="580" t="s">
        <v>477</v>
      </c>
      <c r="L39" s="578"/>
      <c r="M39" s="572" t="s">
        <v>450</v>
      </c>
      <c r="N39" s="548"/>
      <c r="O39" s="549"/>
      <c r="P39" s="550"/>
      <c r="Q39" s="531"/>
      <c r="R39" s="531"/>
      <c r="S39" s="547"/>
      <c r="T39" s="547"/>
      <c r="U39" s="547"/>
      <c r="V39" s="547"/>
      <c r="W39" s="547"/>
      <c r="X39" s="547"/>
      <c r="Y39" s="547"/>
      <c r="Z39" s="547"/>
      <c r="AA39" s="551"/>
      <c r="AB39" s="552"/>
      <c r="AC39" s="547"/>
      <c r="AD39" s="547"/>
      <c r="AE39" s="547"/>
      <c r="AF39" s="547"/>
      <c r="AG39" s="553"/>
      <c r="AH39" s="554" t="str">
        <f t="shared" si="1"/>
        <v/>
      </c>
      <c r="AI39" s="555" t="str">
        <f>IF(ISNUMBER(AH39),100*AH39/(#REF!),"")</f>
        <v/>
      </c>
      <c r="AJ39" s="553"/>
      <c r="AK39" s="547"/>
      <c r="AL39" s="547"/>
      <c r="AM39" s="556" t="s">
        <v>457</v>
      </c>
      <c r="AN39" s="557" t="s">
        <v>452</v>
      </c>
      <c r="AO39" s="553" t="s">
        <v>458</v>
      </c>
      <c r="AP39" s="547" t="s">
        <v>459</v>
      </c>
      <c r="AQ39" s="553" t="s">
        <v>460</v>
      </c>
      <c r="AR39" s="553" t="s">
        <v>458</v>
      </c>
      <c r="AS39" s="575"/>
      <c r="AT39" s="550"/>
      <c r="AU39" s="557"/>
      <c r="AV39" s="557"/>
      <c r="AW39" s="557"/>
      <c r="AX39" s="547"/>
      <c r="AY39" s="553"/>
      <c r="AZ39" s="547"/>
      <c r="BA39" s="547"/>
      <c r="BB39" s="553"/>
      <c r="BC39" s="297"/>
      <c r="BD39" s="558"/>
      <c r="BE39" s="547"/>
      <c r="BF39" s="551"/>
      <c r="BG39" s="552"/>
      <c r="BH39" s="553"/>
      <c r="BI39" s="555"/>
      <c r="BJ39" s="450"/>
      <c r="BK39" s="579"/>
      <c r="BL39" s="552"/>
      <c r="BM39" s="553"/>
      <c r="BN39" s="553"/>
      <c r="BO39" s="553"/>
      <c r="BP39" s="553"/>
      <c r="BQ39" s="576">
        <v>1</v>
      </c>
      <c r="BR39" s="559"/>
      <c r="BS39" s="550"/>
      <c r="BT39" s="560"/>
      <c r="BU39" s="561"/>
      <c r="BV39" s="577"/>
      <c r="BW39" s="550"/>
      <c r="BX39" s="547"/>
      <c r="BY39" s="547"/>
      <c r="BZ39" s="547"/>
      <c r="CA39" s="547"/>
      <c r="CB39" s="547"/>
      <c r="CC39" s="547"/>
      <c r="CD39" s="562"/>
      <c r="CE39" s="550"/>
      <c r="CF39" s="547"/>
      <c r="CG39" s="547"/>
      <c r="CH39" s="551"/>
      <c r="CI39" s="550"/>
      <c r="CJ39" s="551"/>
      <c r="CK39" s="558"/>
      <c r="CL39" s="547"/>
      <c r="CM39" s="547"/>
      <c r="CN39" s="551"/>
      <c r="CO39" s="558"/>
      <c r="CP39" s="547"/>
      <c r="CQ39" s="547"/>
      <c r="CR39" s="547"/>
      <c r="CS39" s="551"/>
      <c r="CT39" s="550"/>
      <c r="CU39" s="563"/>
      <c r="CV39" s="343"/>
      <c r="CW39" s="564"/>
      <c r="CX39" s="565"/>
      <c r="CY39" s="566"/>
      <c r="CZ39" s="550"/>
      <c r="DA39" s="547"/>
      <c r="DB39" s="567"/>
      <c r="DC39" s="344"/>
      <c r="DD39" s="568"/>
      <c r="DE39" s="555"/>
      <c r="DF39" s="551"/>
    </row>
    <row r="40" spans="1:110" ht="20.100000000000001" customHeight="1" thickBot="1" x14ac:dyDescent="0.25">
      <c r="A40" s="573">
        <v>30</v>
      </c>
      <c r="B40" s="545" t="s">
        <v>351</v>
      </c>
      <c r="C40" s="569">
        <v>308</v>
      </c>
      <c r="D40" s="600" t="s">
        <v>350</v>
      </c>
      <c r="E40" s="544" t="s">
        <v>528</v>
      </c>
      <c r="F40" s="570" t="s">
        <v>352</v>
      </c>
      <c r="G40" s="571" t="s">
        <v>529</v>
      </c>
      <c r="H40" s="599" t="s">
        <v>497</v>
      </c>
      <c r="I40" s="574" t="s">
        <v>531</v>
      </c>
      <c r="J40" s="546"/>
      <c r="K40" s="580" t="s">
        <v>461</v>
      </c>
      <c r="L40" s="578"/>
      <c r="M40" s="572" t="s">
        <v>450</v>
      </c>
      <c r="N40" s="548"/>
      <c r="O40" s="549"/>
      <c r="P40" s="550"/>
      <c r="Q40" s="531"/>
      <c r="R40" s="531"/>
      <c r="S40" s="547"/>
      <c r="T40" s="547"/>
      <c r="U40" s="547"/>
      <c r="V40" s="547"/>
      <c r="W40" s="547"/>
      <c r="X40" s="547"/>
      <c r="Y40" s="547"/>
      <c r="Z40" s="547"/>
      <c r="AA40" s="551"/>
      <c r="AB40" s="552"/>
      <c r="AC40" s="547"/>
      <c r="AD40" s="547"/>
      <c r="AE40" s="547"/>
      <c r="AF40" s="547"/>
      <c r="AG40" s="553"/>
      <c r="AH40" s="554" t="str">
        <f t="shared" si="1"/>
        <v/>
      </c>
      <c r="AI40" s="555" t="str">
        <f>IF(ISNUMBER(AH40),100*AH40/(#REF!),"")</f>
        <v/>
      </c>
      <c r="AJ40" s="553"/>
      <c r="AK40" s="547"/>
      <c r="AL40" s="547"/>
      <c r="AM40" s="556" t="s">
        <v>457</v>
      </c>
      <c r="AN40" s="557" t="s">
        <v>452</v>
      </c>
      <c r="AO40" s="553" t="s">
        <v>458</v>
      </c>
      <c r="AP40" s="547" t="s">
        <v>459</v>
      </c>
      <c r="AQ40" s="553" t="s">
        <v>460</v>
      </c>
      <c r="AR40" s="553" t="s">
        <v>458</v>
      </c>
      <c r="AS40" s="575"/>
      <c r="AT40" s="550"/>
      <c r="AU40" s="557"/>
      <c r="AV40" s="557"/>
      <c r="AW40" s="557"/>
      <c r="AX40" s="547"/>
      <c r="AY40" s="553"/>
      <c r="AZ40" s="547"/>
      <c r="BA40" s="547"/>
      <c r="BB40" s="553"/>
      <c r="BC40" s="297"/>
      <c r="BD40" s="558"/>
      <c r="BE40" s="547"/>
      <c r="BF40" s="551"/>
      <c r="BG40" s="552"/>
      <c r="BH40" s="553"/>
      <c r="BI40" s="555"/>
      <c r="BJ40" s="450"/>
      <c r="BK40" s="579"/>
      <c r="BL40" s="552"/>
      <c r="BM40" s="553"/>
      <c r="BN40" s="553"/>
      <c r="BO40" s="553"/>
      <c r="BP40" s="553"/>
      <c r="BQ40" s="576">
        <v>1</v>
      </c>
      <c r="BR40" s="559"/>
      <c r="BS40" s="550"/>
      <c r="BT40" s="560"/>
      <c r="BU40" s="561"/>
      <c r="BV40" s="577"/>
      <c r="BW40" s="550"/>
      <c r="BX40" s="547"/>
      <c r="BY40" s="547"/>
      <c r="BZ40" s="547"/>
      <c r="CA40" s="547"/>
      <c r="CB40" s="547"/>
      <c r="CC40" s="547"/>
      <c r="CD40" s="562"/>
      <c r="CE40" s="550"/>
      <c r="CF40" s="547"/>
      <c r="CG40" s="547"/>
      <c r="CH40" s="551"/>
      <c r="CI40" s="550"/>
      <c r="CJ40" s="551"/>
      <c r="CK40" s="558"/>
      <c r="CL40" s="547"/>
      <c r="CM40" s="547"/>
      <c r="CN40" s="551"/>
      <c r="CO40" s="558"/>
      <c r="CP40" s="547"/>
      <c r="CQ40" s="547"/>
      <c r="CR40" s="547"/>
      <c r="CS40" s="551"/>
      <c r="CT40" s="550"/>
      <c r="CU40" s="563"/>
      <c r="CV40" s="343"/>
      <c r="CW40" s="564"/>
      <c r="CX40" s="565"/>
      <c r="CY40" s="566"/>
      <c r="CZ40" s="550"/>
      <c r="DA40" s="547"/>
      <c r="DB40" s="567"/>
      <c r="DC40" s="344"/>
      <c r="DD40" s="568"/>
      <c r="DE40" s="555"/>
      <c r="DF40" s="551"/>
    </row>
    <row r="41" spans="1:110" ht="20.100000000000001" customHeight="1" thickBot="1" x14ac:dyDescent="0.25">
      <c r="A41" s="573">
        <v>31</v>
      </c>
      <c r="B41" s="545" t="s">
        <v>351</v>
      </c>
      <c r="C41" s="569">
        <v>308</v>
      </c>
      <c r="D41" s="600" t="s">
        <v>350</v>
      </c>
      <c r="E41" s="544" t="s">
        <v>528</v>
      </c>
      <c r="F41" s="570" t="s">
        <v>352</v>
      </c>
      <c r="G41" s="571" t="s">
        <v>529</v>
      </c>
      <c r="H41" s="599" t="s">
        <v>497</v>
      </c>
      <c r="I41" s="574" t="s">
        <v>532</v>
      </c>
      <c r="J41" s="546"/>
      <c r="K41" s="580" t="s">
        <v>478</v>
      </c>
      <c r="L41" s="578"/>
      <c r="M41" s="572" t="s">
        <v>479</v>
      </c>
      <c r="N41" s="548"/>
      <c r="O41" s="549"/>
      <c r="P41" s="550"/>
      <c r="Q41" s="531"/>
      <c r="R41" s="531"/>
      <c r="S41" s="547"/>
      <c r="T41" s="547"/>
      <c r="U41" s="547"/>
      <c r="V41" s="547"/>
      <c r="W41" s="547"/>
      <c r="X41" s="547"/>
      <c r="Y41" s="547"/>
      <c r="Z41" s="547"/>
      <c r="AA41" s="551"/>
      <c r="AB41" s="552"/>
      <c r="AC41" s="547"/>
      <c r="AD41" s="547"/>
      <c r="AE41" s="547"/>
      <c r="AF41" s="547"/>
      <c r="AG41" s="553"/>
      <c r="AH41" s="554" t="str">
        <f t="shared" si="1"/>
        <v/>
      </c>
      <c r="AI41" s="555" t="str">
        <f>IF(ISNUMBER(AH41),100*AH41/(#REF!),"")</f>
        <v/>
      </c>
      <c r="AJ41" s="553"/>
      <c r="AK41" s="547"/>
      <c r="AL41" s="547"/>
      <c r="AM41" s="556" t="s">
        <v>451</v>
      </c>
      <c r="AN41" s="557" t="s">
        <v>452</v>
      </c>
      <c r="AO41" s="553" t="s">
        <v>480</v>
      </c>
      <c r="AP41" s="547"/>
      <c r="AQ41" s="553" t="s">
        <v>460</v>
      </c>
      <c r="AR41" s="553" t="s">
        <v>480</v>
      </c>
      <c r="AS41" s="575"/>
      <c r="AT41" s="550"/>
      <c r="AU41" s="557"/>
      <c r="AV41" s="557"/>
      <c r="AW41" s="557"/>
      <c r="AX41" s="547"/>
      <c r="AY41" s="553"/>
      <c r="AZ41" s="547"/>
      <c r="BA41" s="547"/>
      <c r="BB41" s="553"/>
      <c r="BC41" s="297"/>
      <c r="BD41" s="558"/>
      <c r="BE41" s="547"/>
      <c r="BF41" s="551"/>
      <c r="BG41" s="552"/>
      <c r="BH41" s="553"/>
      <c r="BI41" s="555"/>
      <c r="BJ41" s="450"/>
      <c r="BK41" s="579"/>
      <c r="BL41" s="552"/>
      <c r="BM41" s="553"/>
      <c r="BN41" s="553"/>
      <c r="BO41" s="553"/>
      <c r="BP41" s="553"/>
      <c r="BQ41" s="576">
        <v>1</v>
      </c>
      <c r="BR41" s="559"/>
      <c r="BS41" s="550"/>
      <c r="BT41" s="560"/>
      <c r="BU41" s="561"/>
      <c r="BV41" s="577"/>
      <c r="BW41" s="550"/>
      <c r="BX41" s="547"/>
      <c r="BY41" s="547"/>
      <c r="BZ41" s="547"/>
      <c r="CA41" s="547"/>
      <c r="CB41" s="547"/>
      <c r="CC41" s="547"/>
      <c r="CD41" s="562"/>
      <c r="CE41" s="550"/>
      <c r="CF41" s="547"/>
      <c r="CG41" s="547"/>
      <c r="CH41" s="551"/>
      <c r="CI41" s="550"/>
      <c r="CJ41" s="551"/>
      <c r="CK41" s="558"/>
      <c r="CL41" s="547"/>
      <c r="CM41" s="547"/>
      <c r="CN41" s="551"/>
      <c r="CO41" s="558"/>
      <c r="CP41" s="547"/>
      <c r="CQ41" s="547"/>
      <c r="CR41" s="547"/>
      <c r="CS41" s="551"/>
      <c r="CT41" s="550"/>
      <c r="CU41" s="563"/>
      <c r="CV41" s="343"/>
      <c r="CW41" s="564"/>
      <c r="CX41" s="565"/>
      <c r="CY41" s="566"/>
      <c r="CZ41" s="550"/>
      <c r="DA41" s="547"/>
      <c r="DB41" s="567"/>
      <c r="DC41" s="344"/>
      <c r="DD41" s="568"/>
      <c r="DE41" s="555"/>
      <c r="DF41" s="551"/>
    </row>
    <row r="42" spans="1:110" ht="20.100000000000001" customHeight="1" thickBot="1" x14ac:dyDescent="0.25">
      <c r="A42" s="573">
        <v>32</v>
      </c>
      <c r="B42" s="545" t="s">
        <v>351</v>
      </c>
      <c r="C42" s="569">
        <v>308</v>
      </c>
      <c r="D42" s="600" t="s">
        <v>350</v>
      </c>
      <c r="E42" s="544" t="s">
        <v>528</v>
      </c>
      <c r="F42" s="570" t="s">
        <v>352</v>
      </c>
      <c r="G42" s="571" t="s">
        <v>529</v>
      </c>
      <c r="H42" s="599" t="s">
        <v>497</v>
      </c>
      <c r="I42" s="574" t="s">
        <v>533</v>
      </c>
      <c r="J42" s="546"/>
      <c r="K42" s="580" t="s">
        <v>481</v>
      </c>
      <c r="L42" s="578"/>
      <c r="M42" s="572" t="s">
        <v>482</v>
      </c>
      <c r="N42" s="548"/>
      <c r="O42" s="549"/>
      <c r="P42" s="550"/>
      <c r="Q42" s="531"/>
      <c r="R42" s="531"/>
      <c r="S42" s="547"/>
      <c r="T42" s="547"/>
      <c r="U42" s="547"/>
      <c r="V42" s="547"/>
      <c r="W42" s="547"/>
      <c r="X42" s="547"/>
      <c r="Y42" s="547"/>
      <c r="Z42" s="547"/>
      <c r="AA42" s="551"/>
      <c r="AB42" s="552"/>
      <c r="AC42" s="547"/>
      <c r="AD42" s="547"/>
      <c r="AE42" s="547"/>
      <c r="AF42" s="547"/>
      <c r="AG42" s="553"/>
      <c r="AH42" s="554" t="str">
        <f t="shared" si="1"/>
        <v/>
      </c>
      <c r="AI42" s="555" t="str">
        <f>IF(ISNUMBER(AH42),100*AH42/(#REF!),"")</f>
        <v/>
      </c>
      <c r="AJ42" s="553"/>
      <c r="AK42" s="547"/>
      <c r="AL42" s="547"/>
      <c r="AM42" s="556"/>
      <c r="AN42" s="557"/>
      <c r="AO42" s="553"/>
      <c r="AP42" s="547"/>
      <c r="AQ42" s="553"/>
      <c r="AR42" s="553"/>
      <c r="AS42" s="575"/>
      <c r="AT42" s="550"/>
      <c r="AU42" s="557"/>
      <c r="AV42" s="557"/>
      <c r="AW42" s="557"/>
      <c r="AX42" s="547"/>
      <c r="AY42" s="553"/>
      <c r="AZ42" s="547"/>
      <c r="BA42" s="547"/>
      <c r="BB42" s="553"/>
      <c r="BC42" s="297"/>
      <c r="BD42" s="558"/>
      <c r="BE42" s="547"/>
      <c r="BF42" s="551"/>
      <c r="BG42" s="552"/>
      <c r="BH42" s="553"/>
      <c r="BI42" s="555"/>
      <c r="BJ42" s="450"/>
      <c r="BK42" s="579"/>
      <c r="BL42" s="552"/>
      <c r="BM42" s="553"/>
      <c r="BN42" s="553"/>
      <c r="BO42" s="553"/>
      <c r="BP42" s="553"/>
      <c r="BQ42" s="576"/>
      <c r="BR42" s="559"/>
      <c r="BS42" s="550"/>
      <c r="BT42" s="560"/>
      <c r="BU42" s="561"/>
      <c r="BV42" s="577"/>
      <c r="BW42" s="550"/>
      <c r="BX42" s="547"/>
      <c r="BY42" s="547"/>
      <c r="BZ42" s="547"/>
      <c r="CA42" s="547"/>
      <c r="CB42" s="547"/>
      <c r="CC42" s="547"/>
      <c r="CD42" s="562"/>
      <c r="CE42" s="550"/>
      <c r="CF42" s="547"/>
      <c r="CG42" s="547"/>
      <c r="CH42" s="551"/>
      <c r="CI42" s="550"/>
      <c r="CJ42" s="551"/>
      <c r="CK42" s="558"/>
      <c r="CL42" s="547"/>
      <c r="CM42" s="547"/>
      <c r="CN42" s="551"/>
      <c r="CO42" s="558"/>
      <c r="CP42" s="547"/>
      <c r="CQ42" s="547"/>
      <c r="CR42" s="547"/>
      <c r="CS42" s="551"/>
      <c r="CT42" s="550"/>
      <c r="CU42" s="563"/>
      <c r="CV42" s="343"/>
      <c r="CW42" s="564"/>
      <c r="CX42" s="565"/>
      <c r="CY42" s="566"/>
      <c r="CZ42" s="550"/>
      <c r="DA42" s="547"/>
      <c r="DB42" s="567"/>
      <c r="DC42" s="344"/>
      <c r="DD42" s="568"/>
      <c r="DE42" s="555"/>
      <c r="DF42" s="551"/>
    </row>
    <row r="43" spans="1:110" ht="20.100000000000001" customHeight="1" thickBot="1" x14ac:dyDescent="0.25">
      <c r="A43" s="573">
        <v>33</v>
      </c>
      <c r="B43" s="545" t="s">
        <v>351</v>
      </c>
      <c r="C43" s="569">
        <v>308</v>
      </c>
      <c r="D43" s="600" t="s">
        <v>350</v>
      </c>
      <c r="E43" s="544" t="s">
        <v>528</v>
      </c>
      <c r="F43" s="570" t="s">
        <v>352</v>
      </c>
      <c r="G43" s="571" t="s">
        <v>529</v>
      </c>
      <c r="H43" s="599" t="s">
        <v>497</v>
      </c>
      <c r="I43" s="574" t="s">
        <v>534</v>
      </c>
      <c r="J43" s="546"/>
      <c r="K43" s="580" t="s">
        <v>483</v>
      </c>
      <c r="L43" s="578"/>
      <c r="M43" s="572" t="s">
        <v>482</v>
      </c>
      <c r="N43" s="548"/>
      <c r="O43" s="549"/>
      <c r="P43" s="550"/>
      <c r="Q43" s="531"/>
      <c r="R43" s="531"/>
      <c r="S43" s="547"/>
      <c r="T43" s="547"/>
      <c r="U43" s="547"/>
      <c r="V43" s="547"/>
      <c r="W43" s="547"/>
      <c r="X43" s="547"/>
      <c r="Y43" s="547"/>
      <c r="Z43" s="547"/>
      <c r="AA43" s="551"/>
      <c r="AB43" s="552"/>
      <c r="AC43" s="547"/>
      <c r="AD43" s="547"/>
      <c r="AE43" s="547"/>
      <c r="AF43" s="547"/>
      <c r="AG43" s="553"/>
      <c r="AH43" s="554" t="str">
        <f t="shared" si="1"/>
        <v/>
      </c>
      <c r="AI43" s="555" t="str">
        <f>IF(ISNUMBER(AH43),100*AH43/(#REF!),"")</f>
        <v/>
      </c>
      <c r="AJ43" s="553"/>
      <c r="AK43" s="547"/>
      <c r="AL43" s="547"/>
      <c r="AM43" s="556"/>
      <c r="AN43" s="557"/>
      <c r="AO43" s="553"/>
      <c r="AP43" s="547"/>
      <c r="AQ43" s="553"/>
      <c r="AR43" s="553"/>
      <c r="AS43" s="575"/>
      <c r="AT43" s="550"/>
      <c r="AU43" s="557"/>
      <c r="AV43" s="557"/>
      <c r="AW43" s="557"/>
      <c r="AX43" s="547"/>
      <c r="AY43" s="553"/>
      <c r="AZ43" s="547"/>
      <c r="BA43" s="547"/>
      <c r="BB43" s="553"/>
      <c r="BC43" s="297"/>
      <c r="BD43" s="558"/>
      <c r="BE43" s="547"/>
      <c r="BF43" s="551"/>
      <c r="BG43" s="552"/>
      <c r="BH43" s="553"/>
      <c r="BI43" s="555"/>
      <c r="BJ43" s="450"/>
      <c r="BK43" s="579"/>
      <c r="BL43" s="552">
        <v>2</v>
      </c>
      <c r="BM43" s="553"/>
      <c r="BN43" s="553"/>
      <c r="BO43" s="553"/>
      <c r="BP43" s="553">
        <v>1</v>
      </c>
      <c r="BQ43" s="576"/>
      <c r="BR43" s="559">
        <v>1</v>
      </c>
      <c r="BS43" s="550"/>
      <c r="BT43" s="560"/>
      <c r="BU43" s="561"/>
      <c r="BV43" s="577" t="s">
        <v>466</v>
      </c>
      <c r="BW43" s="550"/>
      <c r="BX43" s="547"/>
      <c r="BY43" s="547"/>
      <c r="BZ43" s="547"/>
      <c r="CA43" s="547"/>
      <c r="CB43" s="547"/>
      <c r="CC43" s="547"/>
      <c r="CD43" s="562"/>
      <c r="CE43" s="550"/>
      <c r="CF43" s="547"/>
      <c r="CG43" s="547"/>
      <c r="CH43" s="551"/>
      <c r="CI43" s="550"/>
      <c r="CJ43" s="551"/>
      <c r="CK43" s="558"/>
      <c r="CL43" s="547"/>
      <c r="CM43" s="547"/>
      <c r="CN43" s="551"/>
      <c r="CO43" s="558"/>
      <c r="CP43" s="547"/>
      <c r="CQ43" s="547"/>
      <c r="CR43" s="547"/>
      <c r="CS43" s="551"/>
      <c r="CT43" s="550"/>
      <c r="CU43" s="563"/>
      <c r="CV43" s="343"/>
      <c r="CW43" s="564"/>
      <c r="CX43" s="565"/>
      <c r="CY43" s="566"/>
      <c r="CZ43" s="550"/>
      <c r="DA43" s="547"/>
      <c r="DB43" s="567"/>
      <c r="DC43" s="344"/>
      <c r="DD43" s="568"/>
      <c r="DE43" s="555"/>
      <c r="DF43" s="551"/>
    </row>
    <row r="44" spans="1:110" ht="20.100000000000001" customHeight="1" thickBot="1" x14ac:dyDescent="0.25">
      <c r="A44" s="573">
        <v>34</v>
      </c>
      <c r="B44" s="545" t="s">
        <v>351</v>
      </c>
      <c r="C44" s="569">
        <v>308</v>
      </c>
      <c r="D44" s="600" t="s">
        <v>350</v>
      </c>
      <c r="E44" s="544" t="s">
        <v>528</v>
      </c>
      <c r="F44" s="570" t="s">
        <v>352</v>
      </c>
      <c r="G44" s="571" t="s">
        <v>529</v>
      </c>
      <c r="H44" s="599" t="s">
        <v>497</v>
      </c>
      <c r="I44" s="574" t="s">
        <v>535</v>
      </c>
      <c r="J44" s="546"/>
      <c r="K44" s="580" t="s">
        <v>484</v>
      </c>
      <c r="L44" s="578"/>
      <c r="M44" s="572" t="s">
        <v>485</v>
      </c>
      <c r="N44" s="548"/>
      <c r="O44" s="549"/>
      <c r="P44" s="550"/>
      <c r="Q44" s="531"/>
      <c r="R44" s="531"/>
      <c r="S44" s="547"/>
      <c r="T44" s="547"/>
      <c r="U44" s="547"/>
      <c r="V44" s="547"/>
      <c r="W44" s="547"/>
      <c r="X44" s="547"/>
      <c r="Y44" s="547"/>
      <c r="Z44" s="547"/>
      <c r="AA44" s="551"/>
      <c r="AB44" s="552"/>
      <c r="AC44" s="547"/>
      <c r="AD44" s="547"/>
      <c r="AE44" s="547"/>
      <c r="AF44" s="547"/>
      <c r="AG44" s="553"/>
      <c r="AH44" s="554" t="str">
        <f t="shared" si="1"/>
        <v/>
      </c>
      <c r="AI44" s="555" t="str">
        <f>IF(ISNUMBER(AH44),100*AH44/(#REF!),"")</f>
        <v/>
      </c>
      <c r="AJ44" s="553"/>
      <c r="AK44" s="547"/>
      <c r="AL44" s="547"/>
      <c r="AM44" s="556"/>
      <c r="AN44" s="557"/>
      <c r="AO44" s="553"/>
      <c r="AP44" s="547"/>
      <c r="AQ44" s="553"/>
      <c r="AR44" s="553"/>
      <c r="AS44" s="575"/>
      <c r="AT44" s="550"/>
      <c r="AU44" s="557"/>
      <c r="AV44" s="557"/>
      <c r="AW44" s="557"/>
      <c r="AX44" s="547"/>
      <c r="AY44" s="553"/>
      <c r="AZ44" s="547"/>
      <c r="BA44" s="547"/>
      <c r="BB44" s="553"/>
      <c r="BC44" s="297"/>
      <c r="BD44" s="558"/>
      <c r="BE44" s="547"/>
      <c r="BF44" s="551"/>
      <c r="BG44" s="552"/>
      <c r="BH44" s="553"/>
      <c r="BI44" s="555"/>
      <c r="BJ44" s="450"/>
      <c r="BK44" s="579"/>
      <c r="BL44" s="552">
        <v>1</v>
      </c>
      <c r="BM44" s="553"/>
      <c r="BN44" s="553"/>
      <c r="BO44" s="553"/>
      <c r="BP44" s="553"/>
      <c r="BQ44" s="576"/>
      <c r="BR44" s="559"/>
      <c r="BS44" s="550"/>
      <c r="BT44" s="560"/>
      <c r="BU44" s="561"/>
      <c r="BV44" s="577"/>
      <c r="BW44" s="550"/>
      <c r="BX44" s="547"/>
      <c r="BY44" s="547"/>
      <c r="BZ44" s="547"/>
      <c r="CA44" s="547"/>
      <c r="CB44" s="547"/>
      <c r="CC44" s="547"/>
      <c r="CD44" s="562"/>
      <c r="CE44" s="550"/>
      <c r="CF44" s="547"/>
      <c r="CG44" s="547"/>
      <c r="CH44" s="551"/>
      <c r="CI44" s="550"/>
      <c r="CJ44" s="551"/>
      <c r="CK44" s="558"/>
      <c r="CL44" s="547"/>
      <c r="CM44" s="547"/>
      <c r="CN44" s="551"/>
      <c r="CO44" s="558"/>
      <c r="CP44" s="547"/>
      <c r="CQ44" s="547"/>
      <c r="CR44" s="547"/>
      <c r="CS44" s="551"/>
      <c r="CT44" s="550"/>
      <c r="CU44" s="563"/>
      <c r="CV44" s="343"/>
      <c r="CW44" s="564"/>
      <c r="CX44" s="565"/>
      <c r="CY44" s="566"/>
      <c r="CZ44" s="550"/>
      <c r="DA44" s="547"/>
      <c r="DB44" s="567"/>
      <c r="DC44" s="344"/>
      <c r="DD44" s="568"/>
      <c r="DE44" s="555"/>
      <c r="DF44" s="551"/>
    </row>
    <row r="45" spans="1:110" ht="20.100000000000001" customHeight="1" thickBot="1" x14ac:dyDescent="0.25">
      <c r="A45" s="573">
        <v>35</v>
      </c>
      <c r="B45" s="545" t="s">
        <v>351</v>
      </c>
      <c r="C45" s="569">
        <v>308</v>
      </c>
      <c r="D45" s="600" t="s">
        <v>350</v>
      </c>
      <c r="E45" s="544" t="s">
        <v>528</v>
      </c>
      <c r="F45" s="570" t="s">
        <v>352</v>
      </c>
      <c r="G45" s="571" t="s">
        <v>529</v>
      </c>
      <c r="H45" s="599" t="s">
        <v>497</v>
      </c>
      <c r="I45" s="574" t="s">
        <v>536</v>
      </c>
      <c r="J45" s="546"/>
      <c r="K45" s="580" t="s">
        <v>486</v>
      </c>
      <c r="L45" s="578"/>
      <c r="M45" s="572" t="s">
        <v>471</v>
      </c>
      <c r="N45" s="548"/>
      <c r="O45" s="549"/>
      <c r="P45" s="550"/>
      <c r="Q45" s="531"/>
      <c r="R45" s="531"/>
      <c r="S45" s="547"/>
      <c r="T45" s="547"/>
      <c r="U45" s="547"/>
      <c r="V45" s="547"/>
      <c r="W45" s="547"/>
      <c r="X45" s="547"/>
      <c r="Y45" s="547"/>
      <c r="Z45" s="547"/>
      <c r="AA45" s="551"/>
      <c r="AB45" s="552"/>
      <c r="AC45" s="547"/>
      <c r="AD45" s="547"/>
      <c r="AE45" s="547"/>
      <c r="AF45" s="547"/>
      <c r="AG45" s="553"/>
      <c r="AH45" s="554" t="str">
        <f t="shared" si="1"/>
        <v/>
      </c>
      <c r="AI45" s="555" t="str">
        <f>IF(ISNUMBER(AH45),100*AH45/(#REF!),"")</f>
        <v/>
      </c>
      <c r="AJ45" s="553">
        <v>125</v>
      </c>
      <c r="AK45" s="547"/>
      <c r="AL45" s="547"/>
      <c r="AM45" s="556"/>
      <c r="AN45" s="557"/>
      <c r="AO45" s="553" t="s">
        <v>487</v>
      </c>
      <c r="AP45" s="547" t="s">
        <v>469</v>
      </c>
      <c r="AQ45" s="553" t="s">
        <v>448</v>
      </c>
      <c r="AR45" s="553" t="s">
        <v>487</v>
      </c>
      <c r="AS45" s="575"/>
      <c r="AT45" s="550"/>
      <c r="AU45" s="557"/>
      <c r="AV45" s="557"/>
      <c r="AW45" s="557"/>
      <c r="AX45" s="547"/>
      <c r="AY45" s="553"/>
      <c r="AZ45" s="547"/>
      <c r="BA45" s="547"/>
      <c r="BB45" s="553"/>
      <c r="BC45" s="297"/>
      <c r="BD45" s="558"/>
      <c r="BE45" s="547"/>
      <c r="BF45" s="551"/>
      <c r="BG45" s="552"/>
      <c r="BH45" s="553"/>
      <c r="BI45" s="555"/>
      <c r="BJ45" s="450"/>
      <c r="BK45" s="579"/>
      <c r="BL45" s="552"/>
      <c r="BM45" s="553"/>
      <c r="BN45" s="553"/>
      <c r="BO45" s="553"/>
      <c r="BP45" s="553"/>
      <c r="BQ45" s="576">
        <v>1</v>
      </c>
      <c r="BR45" s="559">
        <v>1</v>
      </c>
      <c r="BS45" s="550"/>
      <c r="BT45" s="560"/>
      <c r="BU45" s="561"/>
      <c r="BV45" s="577"/>
      <c r="BW45" s="550"/>
      <c r="BX45" s="547"/>
      <c r="BY45" s="547"/>
      <c r="BZ45" s="547"/>
      <c r="CA45" s="547"/>
      <c r="CB45" s="547"/>
      <c r="CC45" s="547"/>
      <c r="CD45" s="562"/>
      <c r="CE45" s="550"/>
      <c r="CF45" s="547"/>
      <c r="CG45" s="547"/>
      <c r="CH45" s="551"/>
      <c r="CI45" s="550"/>
      <c r="CJ45" s="551"/>
      <c r="CK45" s="558"/>
      <c r="CL45" s="547"/>
      <c r="CM45" s="547"/>
      <c r="CN45" s="551"/>
      <c r="CO45" s="558"/>
      <c r="CP45" s="547"/>
      <c r="CQ45" s="547"/>
      <c r="CR45" s="547"/>
      <c r="CS45" s="551"/>
      <c r="CT45" s="550"/>
      <c r="CU45" s="563"/>
      <c r="CV45" s="343"/>
      <c r="CW45" s="564"/>
      <c r="CX45" s="565"/>
      <c r="CY45" s="566"/>
      <c r="CZ45" s="550"/>
      <c r="DA45" s="547"/>
      <c r="DB45" s="567"/>
      <c r="DC45" s="344"/>
      <c r="DD45" s="568"/>
      <c r="DE45" s="555"/>
      <c r="DF45" s="551"/>
    </row>
    <row r="46" spans="1:110" ht="20.100000000000001" customHeight="1" thickBot="1" x14ac:dyDescent="0.25">
      <c r="A46" s="573">
        <v>36</v>
      </c>
      <c r="B46" s="545" t="s">
        <v>351</v>
      </c>
      <c r="C46" s="569">
        <v>308</v>
      </c>
      <c r="D46" s="600" t="s">
        <v>350</v>
      </c>
      <c r="E46" s="544" t="s">
        <v>528</v>
      </c>
      <c r="F46" s="570" t="s">
        <v>352</v>
      </c>
      <c r="G46" s="571" t="s">
        <v>529</v>
      </c>
      <c r="H46" s="599" t="s">
        <v>497</v>
      </c>
      <c r="I46" s="574" t="s">
        <v>537</v>
      </c>
      <c r="J46" s="546"/>
      <c r="K46" s="580" t="s">
        <v>456</v>
      </c>
      <c r="L46" s="578"/>
      <c r="M46" s="572" t="s">
        <v>450</v>
      </c>
      <c r="N46" s="548"/>
      <c r="O46" s="549"/>
      <c r="P46" s="550"/>
      <c r="Q46" s="531"/>
      <c r="R46" s="531"/>
      <c r="S46" s="547"/>
      <c r="T46" s="547"/>
      <c r="U46" s="547"/>
      <c r="V46" s="547"/>
      <c r="W46" s="547"/>
      <c r="X46" s="547"/>
      <c r="Y46" s="547"/>
      <c r="Z46" s="547"/>
      <c r="AA46" s="551"/>
      <c r="AB46" s="552"/>
      <c r="AC46" s="547"/>
      <c r="AD46" s="547"/>
      <c r="AE46" s="547"/>
      <c r="AF46" s="547"/>
      <c r="AG46" s="553"/>
      <c r="AH46" s="554" t="str">
        <f t="shared" si="1"/>
        <v/>
      </c>
      <c r="AI46" s="555" t="str">
        <f>IF(ISNUMBER(AH46),100*AH46/(#REF!),"")</f>
        <v/>
      </c>
      <c r="AJ46" s="553"/>
      <c r="AK46" s="547"/>
      <c r="AL46" s="547"/>
      <c r="AM46" s="556" t="s">
        <v>457</v>
      </c>
      <c r="AN46" s="557" t="s">
        <v>452</v>
      </c>
      <c r="AO46" s="553" t="s">
        <v>458</v>
      </c>
      <c r="AP46" s="547" t="s">
        <v>459</v>
      </c>
      <c r="AQ46" s="553" t="s">
        <v>460</v>
      </c>
      <c r="AR46" s="553" t="s">
        <v>458</v>
      </c>
      <c r="AS46" s="575"/>
      <c r="AT46" s="550"/>
      <c r="AU46" s="557"/>
      <c r="AV46" s="557"/>
      <c r="AW46" s="557"/>
      <c r="AX46" s="547"/>
      <c r="AY46" s="553"/>
      <c r="AZ46" s="547"/>
      <c r="BA46" s="547"/>
      <c r="BB46" s="553"/>
      <c r="BC46" s="297"/>
      <c r="BD46" s="558"/>
      <c r="BE46" s="547"/>
      <c r="BF46" s="551"/>
      <c r="BG46" s="552"/>
      <c r="BH46" s="553"/>
      <c r="BI46" s="555"/>
      <c r="BJ46" s="450"/>
      <c r="BK46" s="579"/>
      <c r="BL46" s="552"/>
      <c r="BM46" s="553"/>
      <c r="BN46" s="553"/>
      <c r="BO46" s="553"/>
      <c r="BP46" s="553"/>
      <c r="BQ46" s="576">
        <v>1</v>
      </c>
      <c r="BR46" s="559"/>
      <c r="BS46" s="550"/>
      <c r="BT46" s="560"/>
      <c r="BU46" s="561"/>
      <c r="BV46" s="577"/>
      <c r="BW46" s="550"/>
      <c r="BX46" s="547"/>
      <c r="BY46" s="547"/>
      <c r="BZ46" s="547"/>
      <c r="CA46" s="547"/>
      <c r="CB46" s="547"/>
      <c r="CC46" s="547"/>
      <c r="CD46" s="562"/>
      <c r="CE46" s="550"/>
      <c r="CF46" s="547"/>
      <c r="CG46" s="547"/>
      <c r="CH46" s="551"/>
      <c r="CI46" s="550"/>
      <c r="CJ46" s="551"/>
      <c r="CK46" s="558"/>
      <c r="CL46" s="547"/>
      <c r="CM46" s="547"/>
      <c r="CN46" s="551"/>
      <c r="CO46" s="558"/>
      <c r="CP46" s="547"/>
      <c r="CQ46" s="547"/>
      <c r="CR46" s="547"/>
      <c r="CS46" s="551"/>
      <c r="CT46" s="550"/>
      <c r="CU46" s="563"/>
      <c r="CV46" s="343"/>
      <c r="CW46" s="564"/>
      <c r="CX46" s="565"/>
      <c r="CY46" s="566"/>
      <c r="CZ46" s="550"/>
      <c r="DA46" s="547"/>
      <c r="DB46" s="567"/>
      <c r="DC46" s="344"/>
      <c r="DD46" s="568"/>
      <c r="DE46" s="555"/>
      <c r="DF46" s="551"/>
    </row>
    <row r="47" spans="1:110" ht="20.100000000000001" customHeight="1" thickBot="1" x14ac:dyDescent="0.25">
      <c r="A47" s="573">
        <v>37</v>
      </c>
      <c r="B47" s="545" t="s">
        <v>351</v>
      </c>
      <c r="C47" s="569">
        <v>308</v>
      </c>
      <c r="D47" s="600" t="s">
        <v>350</v>
      </c>
      <c r="E47" s="544" t="s">
        <v>527</v>
      </c>
      <c r="F47" s="570" t="s">
        <v>352</v>
      </c>
      <c r="G47" s="571" t="s">
        <v>527</v>
      </c>
      <c r="H47" s="599" t="s">
        <v>497</v>
      </c>
      <c r="I47" s="574" t="s">
        <v>527</v>
      </c>
      <c r="J47" s="546"/>
      <c r="K47" s="580"/>
      <c r="L47" s="578"/>
      <c r="M47" s="572"/>
      <c r="N47" s="548"/>
      <c r="O47" s="549"/>
      <c r="P47" s="550"/>
      <c r="Q47" s="531"/>
      <c r="R47" s="531"/>
      <c r="S47" s="547"/>
      <c r="T47" s="547"/>
      <c r="U47" s="547"/>
      <c r="V47" s="547"/>
      <c r="W47" s="547"/>
      <c r="X47" s="547"/>
      <c r="Y47" s="547"/>
      <c r="Z47" s="547"/>
      <c r="AA47" s="551"/>
      <c r="AB47" s="552"/>
      <c r="AC47" s="547"/>
      <c r="AD47" s="547"/>
      <c r="AE47" s="547"/>
      <c r="AF47" s="547"/>
      <c r="AG47" s="553"/>
      <c r="AH47" s="554" t="str">
        <f t="shared" si="1"/>
        <v/>
      </c>
      <c r="AI47" s="555" t="str">
        <f>IF(ISNUMBER(AH47),100*AH47/(#REF!),"")</f>
        <v/>
      </c>
      <c r="AJ47" s="553"/>
      <c r="AK47" s="547"/>
      <c r="AL47" s="547"/>
      <c r="AM47" s="556"/>
      <c r="AN47" s="557"/>
      <c r="AO47" s="553"/>
      <c r="AP47" s="547"/>
      <c r="AQ47" s="553"/>
      <c r="AR47" s="553"/>
      <c r="AS47" s="575"/>
      <c r="AT47" s="550"/>
      <c r="AU47" s="557"/>
      <c r="AV47" s="557"/>
      <c r="AW47" s="557"/>
      <c r="AX47" s="547"/>
      <c r="AY47" s="553"/>
      <c r="AZ47" s="547"/>
      <c r="BA47" s="547"/>
      <c r="BB47" s="553"/>
      <c r="BC47" s="297"/>
      <c r="BD47" s="558"/>
      <c r="BE47" s="547"/>
      <c r="BF47" s="551"/>
      <c r="BG47" s="552"/>
      <c r="BH47" s="553"/>
      <c r="BI47" s="555"/>
      <c r="BJ47" s="450"/>
      <c r="BK47" s="579"/>
      <c r="BL47" s="552"/>
      <c r="BM47" s="553"/>
      <c r="BN47" s="553"/>
      <c r="BO47" s="553"/>
      <c r="BP47" s="553"/>
      <c r="BQ47" s="576"/>
      <c r="BR47" s="559"/>
      <c r="BS47" s="550"/>
      <c r="BT47" s="560"/>
      <c r="BU47" s="561"/>
      <c r="BV47" s="577"/>
      <c r="BW47" s="550"/>
      <c r="BX47" s="547"/>
      <c r="BY47" s="547"/>
      <c r="BZ47" s="547"/>
      <c r="CA47" s="547"/>
      <c r="CB47" s="547"/>
      <c r="CC47" s="547"/>
      <c r="CD47" s="562"/>
      <c r="CE47" s="550"/>
      <c r="CF47" s="547"/>
      <c r="CG47" s="547"/>
      <c r="CH47" s="551"/>
      <c r="CI47" s="550"/>
      <c r="CJ47" s="551"/>
      <c r="CK47" s="558"/>
      <c r="CL47" s="547"/>
      <c r="CM47" s="547"/>
      <c r="CN47" s="551"/>
      <c r="CO47" s="558"/>
      <c r="CP47" s="547"/>
      <c r="CQ47" s="547"/>
      <c r="CR47" s="547"/>
      <c r="CS47" s="551"/>
      <c r="CT47" s="550"/>
      <c r="CU47" s="563"/>
      <c r="CV47" s="343"/>
      <c r="CW47" s="564"/>
      <c r="CX47" s="565"/>
      <c r="CY47" s="566"/>
      <c r="CZ47" s="550"/>
      <c r="DA47" s="547"/>
      <c r="DB47" s="567"/>
      <c r="DC47" s="344"/>
      <c r="DD47" s="568"/>
      <c r="DE47" s="555"/>
      <c r="DF47" s="551"/>
    </row>
    <row r="48" spans="1:110" ht="20.100000000000001" customHeight="1" thickBot="1" x14ac:dyDescent="0.25">
      <c r="A48" s="573">
        <v>38</v>
      </c>
      <c r="B48" s="545" t="s">
        <v>351</v>
      </c>
      <c r="C48" s="569">
        <v>308</v>
      </c>
      <c r="D48" s="600" t="s">
        <v>350</v>
      </c>
      <c r="E48" s="544" t="s">
        <v>538</v>
      </c>
      <c r="F48" s="570" t="s">
        <v>352</v>
      </c>
      <c r="G48" s="571" t="s">
        <v>539</v>
      </c>
      <c r="H48" s="599" t="s">
        <v>497</v>
      </c>
      <c r="I48" s="574" t="s">
        <v>540</v>
      </c>
      <c r="J48" s="546"/>
      <c r="K48" s="580" t="s">
        <v>477</v>
      </c>
      <c r="L48" s="578"/>
      <c r="M48" s="572" t="s">
        <v>488</v>
      </c>
      <c r="N48" s="548"/>
      <c r="O48" s="549"/>
      <c r="P48" s="550"/>
      <c r="Q48" s="531"/>
      <c r="R48" s="531"/>
      <c r="S48" s="547"/>
      <c r="T48" s="547"/>
      <c r="U48" s="547"/>
      <c r="V48" s="547"/>
      <c r="W48" s="547"/>
      <c r="X48" s="547"/>
      <c r="Y48" s="547"/>
      <c r="Z48" s="547"/>
      <c r="AA48" s="551"/>
      <c r="AB48" s="552"/>
      <c r="AC48" s="547"/>
      <c r="AD48" s="547"/>
      <c r="AE48" s="547"/>
      <c r="AF48" s="547"/>
      <c r="AG48" s="553"/>
      <c r="AH48" s="554" t="str">
        <f t="shared" si="1"/>
        <v/>
      </c>
      <c r="AI48" s="555" t="str">
        <f>IF(ISNUMBER(AH48),100*AH48/(#REF!),"")</f>
        <v/>
      </c>
      <c r="AJ48" s="553"/>
      <c r="AK48" s="547"/>
      <c r="AL48" s="547"/>
      <c r="AM48" s="556"/>
      <c r="AN48" s="557"/>
      <c r="AO48" s="553"/>
      <c r="AP48" s="547"/>
      <c r="AQ48" s="553"/>
      <c r="AR48" s="553"/>
      <c r="AS48" s="575"/>
      <c r="AT48" s="550"/>
      <c r="AU48" s="557"/>
      <c r="AV48" s="557"/>
      <c r="AW48" s="557"/>
      <c r="AX48" s="547"/>
      <c r="AY48" s="553"/>
      <c r="AZ48" s="547"/>
      <c r="BA48" s="547"/>
      <c r="BB48" s="553"/>
      <c r="BC48" s="297"/>
      <c r="BD48" s="558"/>
      <c r="BE48" s="547"/>
      <c r="BF48" s="551"/>
      <c r="BG48" s="552"/>
      <c r="BH48" s="553"/>
      <c r="BI48" s="555"/>
      <c r="BJ48" s="450"/>
      <c r="BK48" s="579"/>
      <c r="BL48" s="552"/>
      <c r="BM48" s="553"/>
      <c r="BN48" s="553"/>
      <c r="BO48" s="553"/>
      <c r="BP48" s="553"/>
      <c r="BQ48" s="576">
        <v>1</v>
      </c>
      <c r="BR48" s="559"/>
      <c r="BS48" s="550"/>
      <c r="BT48" s="560"/>
      <c r="BU48" s="561"/>
      <c r="BV48" s="577"/>
      <c r="BW48" s="550"/>
      <c r="BX48" s="547"/>
      <c r="BY48" s="547"/>
      <c r="BZ48" s="547"/>
      <c r="CA48" s="547"/>
      <c r="CB48" s="547"/>
      <c r="CC48" s="547"/>
      <c r="CD48" s="562"/>
      <c r="CE48" s="550"/>
      <c r="CF48" s="547"/>
      <c r="CG48" s="547"/>
      <c r="CH48" s="551"/>
      <c r="CI48" s="550"/>
      <c r="CJ48" s="551"/>
      <c r="CK48" s="558"/>
      <c r="CL48" s="547"/>
      <c r="CM48" s="547"/>
      <c r="CN48" s="551"/>
      <c r="CO48" s="558"/>
      <c r="CP48" s="547"/>
      <c r="CQ48" s="547"/>
      <c r="CR48" s="547"/>
      <c r="CS48" s="551"/>
      <c r="CT48" s="550"/>
      <c r="CU48" s="563"/>
      <c r="CV48" s="343"/>
      <c r="CW48" s="564"/>
      <c r="CX48" s="565"/>
      <c r="CY48" s="566"/>
      <c r="CZ48" s="550"/>
      <c r="DA48" s="547"/>
      <c r="DB48" s="567"/>
      <c r="DC48" s="344"/>
      <c r="DD48" s="568"/>
      <c r="DE48" s="555"/>
      <c r="DF48" s="551"/>
    </row>
    <row r="49" spans="1:110" ht="20.100000000000001" customHeight="1" thickBot="1" x14ac:dyDescent="0.25">
      <c r="A49" s="573">
        <v>39</v>
      </c>
      <c r="B49" s="545" t="s">
        <v>351</v>
      </c>
      <c r="C49" s="569">
        <v>308</v>
      </c>
      <c r="D49" s="600" t="s">
        <v>350</v>
      </c>
      <c r="E49" s="544" t="s">
        <v>538</v>
      </c>
      <c r="F49" s="570" t="s">
        <v>352</v>
      </c>
      <c r="G49" s="571" t="s">
        <v>539</v>
      </c>
      <c r="H49" s="599" t="s">
        <v>497</v>
      </c>
      <c r="I49" s="574" t="s">
        <v>537</v>
      </c>
      <c r="J49" s="546"/>
      <c r="K49" s="580" t="s">
        <v>461</v>
      </c>
      <c r="L49" s="578"/>
      <c r="M49" s="572" t="s">
        <v>488</v>
      </c>
      <c r="N49" s="548"/>
      <c r="O49" s="549"/>
      <c r="P49" s="550"/>
      <c r="Q49" s="531"/>
      <c r="R49" s="531"/>
      <c r="S49" s="547"/>
      <c r="T49" s="547"/>
      <c r="U49" s="547"/>
      <c r="V49" s="547"/>
      <c r="W49" s="547"/>
      <c r="X49" s="547"/>
      <c r="Y49" s="547"/>
      <c r="Z49" s="547"/>
      <c r="AA49" s="551"/>
      <c r="AB49" s="552"/>
      <c r="AC49" s="547"/>
      <c r="AD49" s="547"/>
      <c r="AE49" s="547"/>
      <c r="AF49" s="547"/>
      <c r="AG49" s="553"/>
      <c r="AH49" s="554" t="str">
        <f t="shared" si="1"/>
        <v/>
      </c>
      <c r="AI49" s="555" t="str">
        <f>IF(ISNUMBER(AH49),100*AH49/(#REF!),"")</f>
        <v/>
      </c>
      <c r="AJ49" s="553"/>
      <c r="AK49" s="547"/>
      <c r="AL49" s="547"/>
      <c r="AM49" s="556"/>
      <c r="AN49" s="557"/>
      <c r="AO49" s="553"/>
      <c r="AP49" s="547"/>
      <c r="AQ49" s="553"/>
      <c r="AR49" s="553"/>
      <c r="AS49" s="575"/>
      <c r="AT49" s="550"/>
      <c r="AU49" s="557"/>
      <c r="AV49" s="557"/>
      <c r="AW49" s="557"/>
      <c r="AX49" s="547"/>
      <c r="AY49" s="553"/>
      <c r="AZ49" s="547"/>
      <c r="BA49" s="547"/>
      <c r="BB49" s="553"/>
      <c r="BC49" s="297"/>
      <c r="BD49" s="558"/>
      <c r="BE49" s="547"/>
      <c r="BF49" s="551"/>
      <c r="BG49" s="552"/>
      <c r="BH49" s="553"/>
      <c r="BI49" s="555"/>
      <c r="BJ49" s="450"/>
      <c r="BK49" s="579"/>
      <c r="BL49" s="552"/>
      <c r="BM49" s="553"/>
      <c r="BN49" s="553"/>
      <c r="BO49" s="553"/>
      <c r="BP49" s="553"/>
      <c r="BQ49" s="576">
        <v>1</v>
      </c>
      <c r="BR49" s="559"/>
      <c r="BS49" s="550"/>
      <c r="BT49" s="560"/>
      <c r="BU49" s="561"/>
      <c r="BV49" s="577"/>
      <c r="BW49" s="550"/>
      <c r="BX49" s="547"/>
      <c r="BY49" s="547"/>
      <c r="BZ49" s="547"/>
      <c r="CA49" s="547"/>
      <c r="CB49" s="547"/>
      <c r="CC49" s="547"/>
      <c r="CD49" s="562"/>
      <c r="CE49" s="550"/>
      <c r="CF49" s="547"/>
      <c r="CG49" s="547"/>
      <c r="CH49" s="551"/>
      <c r="CI49" s="550"/>
      <c r="CJ49" s="551"/>
      <c r="CK49" s="558"/>
      <c r="CL49" s="547"/>
      <c r="CM49" s="547"/>
      <c r="CN49" s="551"/>
      <c r="CO49" s="558"/>
      <c r="CP49" s="547"/>
      <c r="CQ49" s="547"/>
      <c r="CR49" s="547"/>
      <c r="CS49" s="551"/>
      <c r="CT49" s="550"/>
      <c r="CU49" s="563"/>
      <c r="CV49" s="343"/>
      <c r="CW49" s="564"/>
      <c r="CX49" s="565"/>
      <c r="CY49" s="566"/>
      <c r="CZ49" s="550"/>
      <c r="DA49" s="547"/>
      <c r="DB49" s="567"/>
      <c r="DC49" s="344"/>
      <c r="DD49" s="568"/>
      <c r="DE49" s="555"/>
      <c r="DF49" s="551"/>
    </row>
    <row r="50" spans="1:110" ht="20.100000000000001" customHeight="1" thickBot="1" x14ac:dyDescent="0.25">
      <c r="A50" s="573">
        <v>40</v>
      </c>
      <c r="B50" s="545" t="s">
        <v>351</v>
      </c>
      <c r="C50" s="569">
        <v>308</v>
      </c>
      <c r="D50" s="600" t="s">
        <v>350</v>
      </c>
      <c r="E50" s="544" t="s">
        <v>538</v>
      </c>
      <c r="F50" s="570" t="s">
        <v>352</v>
      </c>
      <c r="G50" s="571" t="s">
        <v>539</v>
      </c>
      <c r="H50" s="599" t="s">
        <v>497</v>
      </c>
      <c r="I50" s="574" t="s">
        <v>541</v>
      </c>
      <c r="J50" s="546"/>
      <c r="K50" s="580" t="s">
        <v>478</v>
      </c>
      <c r="L50" s="578"/>
      <c r="M50" s="572" t="s">
        <v>479</v>
      </c>
      <c r="N50" s="548"/>
      <c r="O50" s="549"/>
      <c r="P50" s="550"/>
      <c r="Q50" s="531"/>
      <c r="R50" s="531"/>
      <c r="S50" s="547"/>
      <c r="T50" s="547"/>
      <c r="U50" s="547"/>
      <c r="V50" s="547"/>
      <c r="W50" s="547"/>
      <c r="X50" s="547"/>
      <c r="Y50" s="547"/>
      <c r="Z50" s="547"/>
      <c r="AA50" s="551"/>
      <c r="AB50" s="552"/>
      <c r="AC50" s="547"/>
      <c r="AD50" s="547"/>
      <c r="AE50" s="547"/>
      <c r="AF50" s="547"/>
      <c r="AG50" s="553"/>
      <c r="AH50" s="554" t="str">
        <f t="shared" si="1"/>
        <v/>
      </c>
      <c r="AI50" s="555" t="str">
        <f>IF(ISNUMBER(AH50),100*AH50/(#REF!),"")</f>
        <v/>
      </c>
      <c r="AJ50" s="553"/>
      <c r="AK50" s="547"/>
      <c r="AL50" s="547"/>
      <c r="AM50" s="556" t="s">
        <v>451</v>
      </c>
      <c r="AN50" s="557" t="s">
        <v>452</v>
      </c>
      <c r="AO50" s="553" t="s">
        <v>480</v>
      </c>
      <c r="AP50" s="547"/>
      <c r="AQ50" s="553" t="s">
        <v>460</v>
      </c>
      <c r="AR50" s="553" t="s">
        <v>480</v>
      </c>
      <c r="AS50" s="575"/>
      <c r="AT50" s="550"/>
      <c r="AU50" s="557"/>
      <c r="AV50" s="557"/>
      <c r="AW50" s="557"/>
      <c r="AX50" s="547"/>
      <c r="AY50" s="553"/>
      <c r="AZ50" s="547"/>
      <c r="BA50" s="547"/>
      <c r="BB50" s="553"/>
      <c r="BC50" s="297"/>
      <c r="BD50" s="558"/>
      <c r="BE50" s="547"/>
      <c r="BF50" s="551"/>
      <c r="BG50" s="552"/>
      <c r="BH50" s="553"/>
      <c r="BI50" s="555"/>
      <c r="BJ50" s="450"/>
      <c r="BK50" s="579"/>
      <c r="BL50" s="552"/>
      <c r="BM50" s="553"/>
      <c r="BN50" s="553"/>
      <c r="BO50" s="553"/>
      <c r="BP50" s="553"/>
      <c r="BQ50" s="576">
        <v>1</v>
      </c>
      <c r="BR50" s="559"/>
      <c r="BS50" s="550"/>
      <c r="BT50" s="560"/>
      <c r="BU50" s="561"/>
      <c r="BV50" s="577"/>
      <c r="BW50" s="550"/>
      <c r="BX50" s="547"/>
      <c r="BY50" s="547"/>
      <c r="BZ50" s="547"/>
      <c r="CA50" s="547"/>
      <c r="CB50" s="547"/>
      <c r="CC50" s="547"/>
      <c r="CD50" s="562"/>
      <c r="CE50" s="550"/>
      <c r="CF50" s="547"/>
      <c r="CG50" s="547"/>
      <c r="CH50" s="551"/>
      <c r="CI50" s="550"/>
      <c r="CJ50" s="551"/>
      <c r="CK50" s="558"/>
      <c r="CL50" s="547"/>
      <c r="CM50" s="547"/>
      <c r="CN50" s="551"/>
      <c r="CO50" s="558"/>
      <c r="CP50" s="547"/>
      <c r="CQ50" s="547"/>
      <c r="CR50" s="547"/>
      <c r="CS50" s="551"/>
      <c r="CT50" s="550"/>
      <c r="CU50" s="563"/>
      <c r="CV50" s="343"/>
      <c r="CW50" s="564"/>
      <c r="CX50" s="565"/>
      <c r="CY50" s="566"/>
      <c r="CZ50" s="550"/>
      <c r="DA50" s="547"/>
      <c r="DB50" s="567"/>
      <c r="DC50" s="344"/>
      <c r="DD50" s="568"/>
      <c r="DE50" s="555"/>
      <c r="DF50" s="551"/>
    </row>
    <row r="51" spans="1:110" ht="20.100000000000001" customHeight="1" thickBot="1" x14ac:dyDescent="0.25">
      <c r="A51" s="573">
        <v>41</v>
      </c>
      <c r="B51" s="545" t="s">
        <v>351</v>
      </c>
      <c r="C51" s="569">
        <v>308</v>
      </c>
      <c r="D51" s="600" t="s">
        <v>350</v>
      </c>
      <c r="E51" s="544" t="s">
        <v>538</v>
      </c>
      <c r="F51" s="570" t="s">
        <v>352</v>
      </c>
      <c r="G51" s="571" t="s">
        <v>539</v>
      </c>
      <c r="H51" s="599" t="s">
        <v>497</v>
      </c>
      <c r="I51" s="574" t="s">
        <v>542</v>
      </c>
      <c r="J51" s="546"/>
      <c r="K51" s="580" t="s">
        <v>489</v>
      </c>
      <c r="L51" s="578"/>
      <c r="M51" s="572" t="s">
        <v>479</v>
      </c>
      <c r="N51" s="548"/>
      <c r="O51" s="549"/>
      <c r="P51" s="550"/>
      <c r="Q51" s="531"/>
      <c r="R51" s="531"/>
      <c r="S51" s="547"/>
      <c r="T51" s="547"/>
      <c r="U51" s="547"/>
      <c r="V51" s="547"/>
      <c r="W51" s="547"/>
      <c r="X51" s="547"/>
      <c r="Y51" s="547"/>
      <c r="Z51" s="547"/>
      <c r="AA51" s="551"/>
      <c r="AB51" s="552"/>
      <c r="AC51" s="547"/>
      <c r="AD51" s="547"/>
      <c r="AE51" s="547"/>
      <c r="AF51" s="547"/>
      <c r="AG51" s="553"/>
      <c r="AH51" s="554" t="str">
        <f t="shared" si="1"/>
        <v/>
      </c>
      <c r="AI51" s="555" t="str">
        <f>IF(ISNUMBER(AH51),100*AH51/(#REF!),"")</f>
        <v/>
      </c>
      <c r="AJ51" s="553"/>
      <c r="AK51" s="547"/>
      <c r="AL51" s="547"/>
      <c r="AM51" s="556"/>
      <c r="AN51" s="557"/>
      <c r="AO51" s="553"/>
      <c r="AP51" s="547"/>
      <c r="AQ51" s="553"/>
      <c r="AR51" s="553"/>
      <c r="AS51" s="575"/>
      <c r="AT51" s="550"/>
      <c r="AU51" s="557"/>
      <c r="AV51" s="557"/>
      <c r="AW51" s="557"/>
      <c r="AX51" s="547"/>
      <c r="AY51" s="553"/>
      <c r="AZ51" s="547"/>
      <c r="BA51" s="547"/>
      <c r="BB51" s="553"/>
      <c r="BC51" s="297"/>
      <c r="BD51" s="558"/>
      <c r="BE51" s="547"/>
      <c r="BF51" s="551"/>
      <c r="BG51" s="552"/>
      <c r="BH51" s="553"/>
      <c r="BI51" s="555"/>
      <c r="BJ51" s="450"/>
      <c r="BK51" s="579"/>
      <c r="BL51" s="552"/>
      <c r="BM51" s="553"/>
      <c r="BN51" s="553"/>
      <c r="BO51" s="553"/>
      <c r="BP51" s="553"/>
      <c r="BQ51" s="576"/>
      <c r="BR51" s="559"/>
      <c r="BS51" s="550"/>
      <c r="BT51" s="560"/>
      <c r="BU51" s="561"/>
      <c r="BV51" s="577" t="s">
        <v>466</v>
      </c>
      <c r="BW51" s="550"/>
      <c r="BX51" s="547"/>
      <c r="BY51" s="547"/>
      <c r="BZ51" s="547"/>
      <c r="CA51" s="547"/>
      <c r="CB51" s="547"/>
      <c r="CC51" s="547"/>
      <c r="CD51" s="562"/>
      <c r="CE51" s="550"/>
      <c r="CF51" s="547"/>
      <c r="CG51" s="547"/>
      <c r="CH51" s="551"/>
      <c r="CI51" s="550"/>
      <c r="CJ51" s="551"/>
      <c r="CK51" s="558"/>
      <c r="CL51" s="547"/>
      <c r="CM51" s="547"/>
      <c r="CN51" s="551"/>
      <c r="CO51" s="558"/>
      <c r="CP51" s="547"/>
      <c r="CQ51" s="547"/>
      <c r="CR51" s="547"/>
      <c r="CS51" s="551"/>
      <c r="CT51" s="550"/>
      <c r="CU51" s="563"/>
      <c r="CV51" s="343"/>
      <c r="CW51" s="564"/>
      <c r="CX51" s="565"/>
      <c r="CY51" s="566"/>
      <c r="CZ51" s="550"/>
      <c r="DA51" s="547"/>
      <c r="DB51" s="567"/>
      <c r="DC51" s="344"/>
      <c r="DD51" s="568"/>
      <c r="DE51" s="555"/>
      <c r="DF51" s="551"/>
    </row>
    <row r="52" spans="1:110" ht="20.100000000000001" customHeight="1" thickBot="1" x14ac:dyDescent="0.25">
      <c r="A52" s="573">
        <v>42</v>
      </c>
      <c r="B52" s="545" t="s">
        <v>351</v>
      </c>
      <c r="C52" s="569">
        <v>308</v>
      </c>
      <c r="D52" s="600" t="s">
        <v>350</v>
      </c>
      <c r="E52" s="544" t="s">
        <v>538</v>
      </c>
      <c r="F52" s="570" t="s">
        <v>352</v>
      </c>
      <c r="G52" s="571" t="s">
        <v>539</v>
      </c>
      <c r="H52" s="599" t="s">
        <v>497</v>
      </c>
      <c r="I52" s="574" t="s">
        <v>543</v>
      </c>
      <c r="J52" s="546"/>
      <c r="K52" s="580" t="s">
        <v>481</v>
      </c>
      <c r="L52" s="578"/>
      <c r="M52" s="572" t="s">
        <v>482</v>
      </c>
      <c r="N52" s="548"/>
      <c r="O52" s="549"/>
      <c r="P52" s="550"/>
      <c r="Q52" s="531"/>
      <c r="R52" s="531"/>
      <c r="S52" s="547"/>
      <c r="T52" s="547"/>
      <c r="U52" s="547"/>
      <c r="V52" s="547"/>
      <c r="W52" s="547"/>
      <c r="X52" s="547"/>
      <c r="Y52" s="547"/>
      <c r="Z52" s="547"/>
      <c r="AA52" s="551"/>
      <c r="AB52" s="552"/>
      <c r="AC52" s="547"/>
      <c r="AD52" s="547"/>
      <c r="AE52" s="547"/>
      <c r="AF52" s="547"/>
      <c r="AG52" s="553"/>
      <c r="AH52" s="554" t="str">
        <f t="shared" si="1"/>
        <v/>
      </c>
      <c r="AI52" s="555" t="str">
        <f>IF(ISNUMBER(AH52),100*AH52/(#REF!),"")</f>
        <v/>
      </c>
      <c r="AJ52" s="553"/>
      <c r="AK52" s="547"/>
      <c r="AL52" s="547"/>
      <c r="AM52" s="556"/>
      <c r="AN52" s="557"/>
      <c r="AO52" s="553"/>
      <c r="AP52" s="547"/>
      <c r="AQ52" s="553"/>
      <c r="AR52" s="553"/>
      <c r="AS52" s="575"/>
      <c r="AT52" s="550"/>
      <c r="AU52" s="557"/>
      <c r="AV52" s="557"/>
      <c r="AW52" s="557"/>
      <c r="AX52" s="547"/>
      <c r="AY52" s="553"/>
      <c r="AZ52" s="547"/>
      <c r="BA52" s="547"/>
      <c r="BB52" s="553"/>
      <c r="BC52" s="297"/>
      <c r="BD52" s="558"/>
      <c r="BE52" s="547"/>
      <c r="BF52" s="551"/>
      <c r="BG52" s="552"/>
      <c r="BH52" s="553"/>
      <c r="BI52" s="555"/>
      <c r="BJ52" s="450"/>
      <c r="BK52" s="579"/>
      <c r="BL52" s="552"/>
      <c r="BM52" s="553"/>
      <c r="BN52" s="553"/>
      <c r="BO52" s="553"/>
      <c r="BP52" s="553"/>
      <c r="BQ52" s="576"/>
      <c r="BR52" s="559"/>
      <c r="BS52" s="550"/>
      <c r="BT52" s="560"/>
      <c r="BU52" s="561"/>
      <c r="BV52" s="577"/>
      <c r="BW52" s="550"/>
      <c r="BX52" s="547"/>
      <c r="BY52" s="547"/>
      <c r="BZ52" s="547"/>
      <c r="CA52" s="547"/>
      <c r="CB52" s="547"/>
      <c r="CC52" s="547"/>
      <c r="CD52" s="562"/>
      <c r="CE52" s="550"/>
      <c r="CF52" s="547"/>
      <c r="CG52" s="547"/>
      <c r="CH52" s="551"/>
      <c r="CI52" s="550"/>
      <c r="CJ52" s="551"/>
      <c r="CK52" s="558"/>
      <c r="CL52" s="547"/>
      <c r="CM52" s="547"/>
      <c r="CN52" s="551"/>
      <c r="CO52" s="558"/>
      <c r="CP52" s="547"/>
      <c r="CQ52" s="547"/>
      <c r="CR52" s="547"/>
      <c r="CS52" s="551"/>
      <c r="CT52" s="550"/>
      <c r="CU52" s="563"/>
      <c r="CV52" s="343"/>
      <c r="CW52" s="564"/>
      <c r="CX52" s="565"/>
      <c r="CY52" s="566"/>
      <c r="CZ52" s="550"/>
      <c r="DA52" s="547"/>
      <c r="DB52" s="567"/>
      <c r="DC52" s="344"/>
      <c r="DD52" s="568"/>
      <c r="DE52" s="555"/>
      <c r="DF52" s="551"/>
    </row>
    <row r="53" spans="1:110" ht="20.100000000000001" customHeight="1" thickBot="1" x14ac:dyDescent="0.25">
      <c r="A53" s="573">
        <v>43</v>
      </c>
      <c r="B53" s="545" t="s">
        <v>351</v>
      </c>
      <c r="C53" s="569">
        <v>308</v>
      </c>
      <c r="D53" s="600" t="s">
        <v>350</v>
      </c>
      <c r="E53" s="544" t="s">
        <v>538</v>
      </c>
      <c r="F53" s="570" t="s">
        <v>352</v>
      </c>
      <c r="G53" s="571" t="s">
        <v>539</v>
      </c>
      <c r="H53" s="599" t="s">
        <v>497</v>
      </c>
      <c r="I53" s="574" t="s">
        <v>544</v>
      </c>
      <c r="J53" s="546"/>
      <c r="K53" s="580" t="s">
        <v>483</v>
      </c>
      <c r="L53" s="578"/>
      <c r="M53" s="572" t="s">
        <v>479</v>
      </c>
      <c r="N53" s="548"/>
      <c r="O53" s="549"/>
      <c r="P53" s="550"/>
      <c r="Q53" s="531"/>
      <c r="R53" s="531"/>
      <c r="S53" s="547"/>
      <c r="T53" s="547"/>
      <c r="U53" s="547"/>
      <c r="V53" s="547"/>
      <c r="W53" s="547"/>
      <c r="X53" s="547"/>
      <c r="Y53" s="547"/>
      <c r="Z53" s="547"/>
      <c r="AA53" s="551"/>
      <c r="AB53" s="552"/>
      <c r="AC53" s="547"/>
      <c r="AD53" s="547"/>
      <c r="AE53" s="547"/>
      <c r="AF53" s="547"/>
      <c r="AG53" s="553"/>
      <c r="AH53" s="554" t="str">
        <f t="shared" si="1"/>
        <v/>
      </c>
      <c r="AI53" s="555" t="str">
        <f>IF(ISNUMBER(AH53),100*AH53/(#REF!),"")</f>
        <v/>
      </c>
      <c r="AJ53" s="553"/>
      <c r="AK53" s="547"/>
      <c r="AL53" s="547"/>
      <c r="AM53" s="556"/>
      <c r="AN53" s="557"/>
      <c r="AO53" s="553"/>
      <c r="AP53" s="547"/>
      <c r="AQ53" s="553"/>
      <c r="AR53" s="553"/>
      <c r="AS53" s="575"/>
      <c r="AT53" s="550"/>
      <c r="AU53" s="557"/>
      <c r="AV53" s="557"/>
      <c r="AW53" s="557"/>
      <c r="AX53" s="547"/>
      <c r="AY53" s="553"/>
      <c r="AZ53" s="547"/>
      <c r="BA53" s="547"/>
      <c r="BB53" s="553"/>
      <c r="BC53" s="297"/>
      <c r="BD53" s="558"/>
      <c r="BE53" s="547"/>
      <c r="BF53" s="551"/>
      <c r="BG53" s="552"/>
      <c r="BH53" s="553"/>
      <c r="BI53" s="555"/>
      <c r="BJ53" s="450"/>
      <c r="BK53" s="579"/>
      <c r="BL53" s="552">
        <v>2</v>
      </c>
      <c r="BM53" s="553"/>
      <c r="BN53" s="553"/>
      <c r="BO53" s="553"/>
      <c r="BP53" s="553">
        <v>1</v>
      </c>
      <c r="BQ53" s="576"/>
      <c r="BR53" s="559">
        <v>1</v>
      </c>
      <c r="BS53" s="550"/>
      <c r="BT53" s="560"/>
      <c r="BU53" s="561"/>
      <c r="BV53" s="577" t="s">
        <v>466</v>
      </c>
      <c r="BW53" s="550"/>
      <c r="BX53" s="547"/>
      <c r="BY53" s="547"/>
      <c r="BZ53" s="547"/>
      <c r="CA53" s="547"/>
      <c r="CB53" s="547"/>
      <c r="CC53" s="547"/>
      <c r="CD53" s="562"/>
      <c r="CE53" s="550"/>
      <c r="CF53" s="547"/>
      <c r="CG53" s="547"/>
      <c r="CH53" s="551"/>
      <c r="CI53" s="550"/>
      <c r="CJ53" s="551"/>
      <c r="CK53" s="558"/>
      <c r="CL53" s="547"/>
      <c r="CM53" s="547"/>
      <c r="CN53" s="551"/>
      <c r="CO53" s="558"/>
      <c r="CP53" s="547"/>
      <c r="CQ53" s="547"/>
      <c r="CR53" s="547"/>
      <c r="CS53" s="551"/>
      <c r="CT53" s="550"/>
      <c r="CU53" s="563"/>
      <c r="CV53" s="343"/>
      <c r="CW53" s="564"/>
      <c r="CX53" s="565"/>
      <c r="CY53" s="566"/>
      <c r="CZ53" s="550"/>
      <c r="DA53" s="547"/>
      <c r="DB53" s="567"/>
      <c r="DC53" s="344"/>
      <c r="DD53" s="568"/>
      <c r="DE53" s="555"/>
      <c r="DF53" s="551"/>
    </row>
    <row r="54" spans="1:110" ht="20.100000000000001" customHeight="1" thickBot="1" x14ac:dyDescent="0.25">
      <c r="A54" s="573">
        <v>44</v>
      </c>
      <c r="B54" s="545" t="s">
        <v>351</v>
      </c>
      <c r="C54" s="569">
        <v>308</v>
      </c>
      <c r="D54" s="600" t="s">
        <v>350</v>
      </c>
      <c r="E54" s="544" t="s">
        <v>538</v>
      </c>
      <c r="F54" s="570" t="s">
        <v>352</v>
      </c>
      <c r="G54" s="571" t="s">
        <v>539</v>
      </c>
      <c r="H54" s="599" t="s">
        <v>497</v>
      </c>
      <c r="I54" s="574" t="s">
        <v>545</v>
      </c>
      <c r="J54" s="546"/>
      <c r="K54" s="580" t="s">
        <v>484</v>
      </c>
      <c r="L54" s="578"/>
      <c r="M54" s="572" t="s">
        <v>479</v>
      </c>
      <c r="N54" s="548"/>
      <c r="O54" s="549"/>
      <c r="P54" s="550"/>
      <c r="Q54" s="531"/>
      <c r="R54" s="531"/>
      <c r="S54" s="547"/>
      <c r="T54" s="547"/>
      <c r="U54" s="547"/>
      <c r="V54" s="547"/>
      <c r="W54" s="547"/>
      <c r="X54" s="547"/>
      <c r="Y54" s="547"/>
      <c r="Z54" s="547"/>
      <c r="AA54" s="551"/>
      <c r="AB54" s="552"/>
      <c r="AC54" s="547"/>
      <c r="AD54" s="547"/>
      <c r="AE54" s="547"/>
      <c r="AF54" s="547"/>
      <c r="AG54" s="553"/>
      <c r="AH54" s="554" t="str">
        <f t="shared" si="1"/>
        <v/>
      </c>
      <c r="AI54" s="555" t="str">
        <f>IF(ISNUMBER(AH54),100*AH54/(#REF!),"")</f>
        <v/>
      </c>
      <c r="AJ54" s="553"/>
      <c r="AK54" s="547"/>
      <c r="AL54" s="547"/>
      <c r="AM54" s="556"/>
      <c r="AN54" s="557"/>
      <c r="AO54" s="553"/>
      <c r="AP54" s="547"/>
      <c r="AQ54" s="553"/>
      <c r="AR54" s="553"/>
      <c r="AS54" s="575"/>
      <c r="AT54" s="550"/>
      <c r="AU54" s="557"/>
      <c r="AV54" s="557"/>
      <c r="AW54" s="557"/>
      <c r="AX54" s="547"/>
      <c r="AY54" s="553"/>
      <c r="AZ54" s="547"/>
      <c r="BA54" s="547"/>
      <c r="BB54" s="553"/>
      <c r="BC54" s="297"/>
      <c r="BD54" s="558"/>
      <c r="BE54" s="547"/>
      <c r="BF54" s="551"/>
      <c r="BG54" s="552"/>
      <c r="BH54" s="553"/>
      <c r="BI54" s="555"/>
      <c r="BJ54" s="450"/>
      <c r="BK54" s="579"/>
      <c r="BL54" s="552">
        <v>1</v>
      </c>
      <c r="BM54" s="553"/>
      <c r="BN54" s="553"/>
      <c r="BO54" s="553"/>
      <c r="BP54" s="553"/>
      <c r="BQ54" s="576"/>
      <c r="BR54" s="559"/>
      <c r="BS54" s="550"/>
      <c r="BT54" s="560"/>
      <c r="BU54" s="561"/>
      <c r="BV54" s="577"/>
      <c r="BW54" s="550"/>
      <c r="BX54" s="547"/>
      <c r="BY54" s="547"/>
      <c r="BZ54" s="547"/>
      <c r="CA54" s="547"/>
      <c r="CB54" s="547"/>
      <c r="CC54" s="547"/>
      <c r="CD54" s="562"/>
      <c r="CE54" s="550"/>
      <c r="CF54" s="547"/>
      <c r="CG54" s="547"/>
      <c r="CH54" s="551"/>
      <c r="CI54" s="550"/>
      <c r="CJ54" s="551"/>
      <c r="CK54" s="558"/>
      <c r="CL54" s="547"/>
      <c r="CM54" s="547"/>
      <c r="CN54" s="551"/>
      <c r="CO54" s="558"/>
      <c r="CP54" s="547"/>
      <c r="CQ54" s="547"/>
      <c r="CR54" s="547"/>
      <c r="CS54" s="551"/>
      <c r="CT54" s="550"/>
      <c r="CU54" s="563"/>
      <c r="CV54" s="343"/>
      <c r="CW54" s="564"/>
      <c r="CX54" s="565"/>
      <c r="CY54" s="566"/>
      <c r="CZ54" s="550"/>
      <c r="DA54" s="547"/>
      <c r="DB54" s="567"/>
      <c r="DC54" s="344"/>
      <c r="DD54" s="568"/>
      <c r="DE54" s="555"/>
      <c r="DF54" s="551"/>
    </row>
    <row r="55" spans="1:110" ht="20.100000000000001" customHeight="1" thickBot="1" x14ac:dyDescent="0.25">
      <c r="A55" s="573">
        <v>45</v>
      </c>
      <c r="B55" s="545" t="s">
        <v>351</v>
      </c>
      <c r="C55" s="569">
        <v>308</v>
      </c>
      <c r="D55" s="600" t="s">
        <v>350</v>
      </c>
      <c r="E55" s="544" t="s">
        <v>538</v>
      </c>
      <c r="F55" s="570" t="s">
        <v>352</v>
      </c>
      <c r="G55" s="571" t="s">
        <v>539</v>
      </c>
      <c r="H55" s="599" t="s">
        <v>497</v>
      </c>
      <c r="I55" s="574" t="s">
        <v>546</v>
      </c>
      <c r="J55" s="546"/>
      <c r="K55" s="580" t="s">
        <v>478</v>
      </c>
      <c r="L55" s="578"/>
      <c r="M55" s="572" t="s">
        <v>479</v>
      </c>
      <c r="N55" s="548"/>
      <c r="O55" s="549"/>
      <c r="P55" s="550"/>
      <c r="Q55" s="531"/>
      <c r="R55" s="531"/>
      <c r="S55" s="547"/>
      <c r="T55" s="547"/>
      <c r="U55" s="547"/>
      <c r="V55" s="547"/>
      <c r="W55" s="547"/>
      <c r="X55" s="547"/>
      <c r="Y55" s="547"/>
      <c r="Z55" s="547"/>
      <c r="AA55" s="551"/>
      <c r="AB55" s="552"/>
      <c r="AC55" s="547"/>
      <c r="AD55" s="547"/>
      <c r="AE55" s="547"/>
      <c r="AF55" s="547"/>
      <c r="AG55" s="553"/>
      <c r="AH55" s="554" t="str">
        <f t="shared" si="1"/>
        <v/>
      </c>
      <c r="AI55" s="555" t="str">
        <f>IF(ISNUMBER(AH55),100*AH55/(#REF!),"")</f>
        <v/>
      </c>
      <c r="AJ55" s="553"/>
      <c r="AK55" s="547"/>
      <c r="AL55" s="547"/>
      <c r="AM55" s="556" t="s">
        <v>451</v>
      </c>
      <c r="AN55" s="557" t="s">
        <v>452</v>
      </c>
      <c r="AO55" s="553" t="s">
        <v>480</v>
      </c>
      <c r="AP55" s="547"/>
      <c r="AQ55" s="553" t="s">
        <v>460</v>
      </c>
      <c r="AR55" s="553" t="s">
        <v>480</v>
      </c>
      <c r="AS55" s="575"/>
      <c r="AT55" s="550"/>
      <c r="AU55" s="557"/>
      <c r="AV55" s="557"/>
      <c r="AW55" s="557"/>
      <c r="AX55" s="547"/>
      <c r="AY55" s="553"/>
      <c r="AZ55" s="547"/>
      <c r="BA55" s="547"/>
      <c r="BB55" s="553"/>
      <c r="BC55" s="297"/>
      <c r="BD55" s="558"/>
      <c r="BE55" s="547"/>
      <c r="BF55" s="551"/>
      <c r="BG55" s="552"/>
      <c r="BH55" s="553"/>
      <c r="BI55" s="555"/>
      <c r="BJ55" s="450"/>
      <c r="BK55" s="579"/>
      <c r="BL55" s="552"/>
      <c r="BM55" s="553"/>
      <c r="BN55" s="553"/>
      <c r="BO55" s="553"/>
      <c r="BP55" s="553"/>
      <c r="BQ55" s="576">
        <v>1</v>
      </c>
      <c r="BR55" s="559"/>
      <c r="BS55" s="550"/>
      <c r="BT55" s="560"/>
      <c r="BU55" s="561"/>
      <c r="BV55" s="577"/>
      <c r="BW55" s="550"/>
      <c r="BX55" s="547"/>
      <c r="BY55" s="547"/>
      <c r="BZ55" s="547"/>
      <c r="CA55" s="547"/>
      <c r="CB55" s="547"/>
      <c r="CC55" s="547"/>
      <c r="CD55" s="562"/>
      <c r="CE55" s="550"/>
      <c r="CF55" s="547"/>
      <c r="CG55" s="547"/>
      <c r="CH55" s="551"/>
      <c r="CI55" s="550"/>
      <c r="CJ55" s="551"/>
      <c r="CK55" s="558"/>
      <c r="CL55" s="547"/>
      <c r="CM55" s="547"/>
      <c r="CN55" s="551"/>
      <c r="CO55" s="558"/>
      <c r="CP55" s="547"/>
      <c r="CQ55" s="547"/>
      <c r="CR55" s="547"/>
      <c r="CS55" s="551"/>
      <c r="CT55" s="550"/>
      <c r="CU55" s="563"/>
      <c r="CV55" s="343"/>
      <c r="CW55" s="564"/>
      <c r="CX55" s="565"/>
      <c r="CY55" s="566"/>
      <c r="CZ55" s="550"/>
      <c r="DA55" s="547"/>
      <c r="DB55" s="567"/>
      <c r="DC55" s="344"/>
      <c r="DD55" s="568"/>
      <c r="DE55" s="555"/>
      <c r="DF55" s="551"/>
    </row>
    <row r="56" spans="1:110" ht="20.100000000000001" customHeight="1" x14ac:dyDescent="0.2">
      <c r="A56" s="573">
        <v>46</v>
      </c>
      <c r="B56" s="545" t="s">
        <v>351</v>
      </c>
      <c r="C56" s="569">
        <v>308</v>
      </c>
      <c r="D56" s="600" t="s">
        <v>350</v>
      </c>
      <c r="E56" s="544" t="s">
        <v>538</v>
      </c>
      <c r="F56" s="570" t="s">
        <v>352</v>
      </c>
      <c r="G56" s="571" t="s">
        <v>547</v>
      </c>
      <c r="H56" s="599" t="s">
        <v>497</v>
      </c>
      <c r="I56" s="574" t="s">
        <v>548</v>
      </c>
      <c r="J56" s="546"/>
      <c r="K56" s="580" t="s">
        <v>489</v>
      </c>
      <c r="L56" s="578"/>
      <c r="M56" s="572" t="s">
        <v>479</v>
      </c>
      <c r="N56" s="548"/>
      <c r="O56" s="549"/>
      <c r="P56" s="550"/>
      <c r="Q56" s="531"/>
      <c r="R56" s="531"/>
      <c r="S56" s="547"/>
      <c r="T56" s="547"/>
      <c r="U56" s="547"/>
      <c r="V56" s="547"/>
      <c r="W56" s="547"/>
      <c r="X56" s="547"/>
      <c r="Y56" s="547"/>
      <c r="Z56" s="547"/>
      <c r="AA56" s="551"/>
      <c r="AB56" s="552"/>
      <c r="AC56" s="547"/>
      <c r="AD56" s="547"/>
      <c r="AE56" s="547"/>
      <c r="AF56" s="547"/>
      <c r="AG56" s="553"/>
      <c r="AH56" s="554" t="str">
        <f t="shared" si="1"/>
        <v/>
      </c>
      <c r="AI56" s="555" t="str">
        <f>IF(ISNUMBER(AH56),100*AH56/(#REF!),"")</f>
        <v/>
      </c>
      <c r="AJ56" s="553"/>
      <c r="AK56" s="547"/>
      <c r="AL56" s="547"/>
      <c r="AM56" s="556"/>
      <c r="AN56" s="557"/>
      <c r="AO56" s="553"/>
      <c r="AP56" s="547"/>
      <c r="AQ56" s="553"/>
      <c r="AR56" s="553"/>
      <c r="AS56" s="575"/>
      <c r="AT56" s="550"/>
      <c r="AU56" s="557"/>
      <c r="AV56" s="557"/>
      <c r="AW56" s="557"/>
      <c r="AX56" s="547"/>
      <c r="AY56" s="553"/>
      <c r="AZ56" s="547"/>
      <c r="BA56" s="547"/>
      <c r="BB56" s="553"/>
      <c r="BC56" s="297"/>
      <c r="BD56" s="558"/>
      <c r="BE56" s="547"/>
      <c r="BF56" s="551"/>
      <c r="BG56" s="552"/>
      <c r="BH56" s="553"/>
      <c r="BI56" s="555"/>
      <c r="BJ56" s="450"/>
      <c r="BK56" s="579"/>
      <c r="BL56" s="552"/>
      <c r="BM56" s="553"/>
      <c r="BN56" s="553"/>
      <c r="BO56" s="553"/>
      <c r="BP56" s="553"/>
      <c r="BQ56" s="576"/>
      <c r="BR56" s="559"/>
      <c r="BS56" s="550"/>
      <c r="BT56" s="560"/>
      <c r="BU56" s="561"/>
      <c r="BV56" s="577" t="s">
        <v>466</v>
      </c>
      <c r="BW56" s="550"/>
      <c r="BX56" s="547"/>
      <c r="BY56" s="547"/>
      <c r="BZ56" s="547"/>
      <c r="CA56" s="547"/>
      <c r="CB56" s="547"/>
      <c r="CC56" s="547"/>
      <c r="CD56" s="562"/>
      <c r="CE56" s="550"/>
      <c r="CF56" s="547"/>
      <c r="CG56" s="547"/>
      <c r="CH56" s="551"/>
      <c r="CI56" s="550"/>
      <c r="CJ56" s="551"/>
      <c r="CK56" s="558"/>
      <c r="CL56" s="547"/>
      <c r="CM56" s="547"/>
      <c r="CN56" s="551"/>
      <c r="CO56" s="558"/>
      <c r="CP56" s="547"/>
      <c r="CQ56" s="547"/>
      <c r="CR56" s="547"/>
      <c r="CS56" s="551"/>
      <c r="CT56" s="550"/>
      <c r="CU56" s="563"/>
      <c r="CV56" s="343"/>
      <c r="CW56" s="564"/>
      <c r="CX56" s="565"/>
      <c r="CY56" s="566"/>
      <c r="CZ56" s="550"/>
      <c r="DA56" s="547"/>
      <c r="DB56" s="567"/>
      <c r="DC56" s="344"/>
      <c r="DD56" s="568"/>
      <c r="DE56" s="555"/>
      <c r="DF56" s="551"/>
    </row>
  </sheetData>
  <autoFilter ref="A10:FD56" xr:uid="{00000000-0001-0000-0000-000000000000}"/>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58AA9422-5C55-459B-9150-81ACFA3713C2}"/>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hyperlinks>
    <hyperlink ref="AR12" r:id="rId2" xr:uid="{EE57721E-7FFF-4F9D-A327-F77137921A6A}"/>
    <hyperlink ref="AR13" r:id="rId3" xr:uid="{82C0CFD2-E9DB-4736-986F-ACE2C86B2E24}"/>
    <hyperlink ref="AR45" r:id="rId4" xr:uid="{B7B54C5A-53C8-4629-A672-F39451BA1533}"/>
    <hyperlink ref="AR22" r:id="rId5" xr:uid="{D6B8A883-F352-4C71-9A7F-F446C1801F2F}"/>
    <hyperlink ref="AR23" r:id="rId6" xr:uid="{8DCCBC57-7574-48B8-ADC6-520F857EDC14}"/>
    <hyperlink ref="AR14:AR15" r:id="rId7" display="FDV" xr:uid="{868D249D-17FB-4D95-B474-AB5A5490724D}"/>
    <hyperlink ref="AR50" r:id="rId8" xr:uid="{D35B5272-2961-4590-B03A-E00ACC34F929}"/>
    <hyperlink ref="AR55" r:id="rId9" xr:uid="{8532FAAC-3DBA-4BC3-845E-083DE9C1B826}"/>
    <hyperlink ref="AR11" r:id="rId10" xr:uid="{DF83DE5D-13D0-47F3-AE0B-59F641B816AD}"/>
    <hyperlink ref="AR21" r:id="rId11" xr:uid="{A8E8F5D6-34DF-4CCC-A7F4-1C6CA8CFDED8}"/>
    <hyperlink ref="AR36" r:id="rId12" xr:uid="{265CD63F-3087-4ED5-9B8E-B1D764C394A3}"/>
    <hyperlink ref="AR37" r:id="rId13" xr:uid="{D2985D87-C3DD-4333-91FD-EBB59B29FE73}"/>
    <hyperlink ref="AR17" r:id="rId14" xr:uid="{8F01B46A-ED1A-4003-BB8B-97D43E76ADE4}"/>
    <hyperlink ref="AR18" r:id="rId15" xr:uid="{0229A4AB-9057-4902-8AA3-8D5DF63B1A3D}"/>
    <hyperlink ref="AR19" r:id="rId16" xr:uid="{39884A12-F71E-4F24-9BCC-56ADD81FD02A}"/>
    <hyperlink ref="AR20" r:id="rId17" xr:uid="{07C8C14B-D79A-4F7F-9678-5A0B1E3C84D7}"/>
    <hyperlink ref="AR27:AR30" r:id="rId18" display="Spjeldventil PA-GF" xr:uid="{AD85A109-1C65-415B-B28E-D4117C033B30}"/>
    <hyperlink ref="AR14" r:id="rId19" xr:uid="{3234DED4-9C9E-4346-9653-545C5AF39C86}"/>
    <hyperlink ref="AR15" r:id="rId20" xr:uid="{AD87D768-36D6-4597-81BA-77424710B57E}"/>
    <hyperlink ref="AR16" r:id="rId21" xr:uid="{C447779C-DF50-4AB0-A7B2-A584857B88BA}"/>
    <hyperlink ref="AR24" r:id="rId22" display="FDV" xr:uid="{F3C93665-95F0-4E9C-A2F5-69156196F477}"/>
    <hyperlink ref="AR25" r:id="rId23" display="FDV" xr:uid="{F631CD98-D289-4619-B7CC-FC96784DC01A}"/>
    <hyperlink ref="AR26" r:id="rId24" xr:uid="{C58D6A25-FBB9-485A-9B1F-E31465B1D430}"/>
    <hyperlink ref="AR46" r:id="rId25" display="FDV" xr:uid="{2AD3ABB4-6DA6-4391-8681-C97863F264D2}"/>
    <hyperlink ref="AR40" r:id="rId26" display="FDV" xr:uid="{BE0051C9-C4EA-4F15-81FE-A48AC0342F94}"/>
    <hyperlink ref="AR39" r:id="rId27" display="FDV" xr:uid="{7B0B7CAD-0C8C-41F4-BC5C-8433FD63EBFC}"/>
    <hyperlink ref="AR41" r:id="rId28" xr:uid="{95911D3C-9B73-4E2F-A51B-48D38100E04A}"/>
    <hyperlink ref="AR31" r:id="rId29" xr:uid="{35687A72-D10D-425D-83E1-3A8B4D1E5332}"/>
    <hyperlink ref="AR32" r:id="rId30" xr:uid="{5E257793-69C1-4435-9542-406ACFAC87DA}"/>
    <hyperlink ref="AR33" r:id="rId31" xr:uid="{DE1776C2-467B-41A2-A570-E3202A18CB08}"/>
    <hyperlink ref="AR34" r:id="rId32" xr:uid="{912F7E0A-0239-475B-894D-D3BDB5539CCB}"/>
    <hyperlink ref="AR35" r:id="rId33" xr:uid="{7AE0D3F4-D9F7-4134-8B23-3800869A673D}"/>
    <hyperlink ref="AO12" r:id="rId34" xr:uid="{D0C00BCE-AB8B-4010-BAAF-E7FB6BAEAAFB}"/>
    <hyperlink ref="AO13" r:id="rId35" xr:uid="{AA96713E-687E-469F-B942-D5E7D030177B}"/>
    <hyperlink ref="AO45" r:id="rId36" xr:uid="{942E9FE3-1CE0-4F72-9D01-5E4A186EC218}"/>
    <hyperlink ref="AO22" r:id="rId37" xr:uid="{AFA30F74-988A-4379-9867-2BC97D200DA3}"/>
    <hyperlink ref="AO23" r:id="rId38" xr:uid="{58BFF1E6-99C6-4670-B37E-EBDB5DE4D3A9}"/>
    <hyperlink ref="AO14:AO15" r:id="rId39" display="FDV" xr:uid="{F150BD9D-40D2-4EB8-9DC4-78D8E4004CE2}"/>
    <hyperlink ref="AO50" r:id="rId40" xr:uid="{319A2917-64C9-4188-A844-32106C975159}"/>
    <hyperlink ref="AO55" r:id="rId41" xr:uid="{96A17A67-8104-4CF5-9F1B-F4931F102FAA}"/>
    <hyperlink ref="AO11" r:id="rId42" xr:uid="{519820D8-0131-49EA-AF35-201BC64FAB30}"/>
    <hyperlink ref="AO21" r:id="rId43" xr:uid="{6B7B8FB1-E89A-463F-9B7F-4EEEBF0710CA}"/>
    <hyperlink ref="AO36" r:id="rId44" xr:uid="{B567F9B7-E1CE-4340-97FD-931B76797193}"/>
    <hyperlink ref="AO37" r:id="rId45" xr:uid="{DA504EEF-8B08-410C-8B8A-043F7B076FE5}"/>
    <hyperlink ref="AO17" r:id="rId46" xr:uid="{3AEFB65B-0719-4025-B1D6-7C4FCB285E6A}"/>
    <hyperlink ref="AO18" r:id="rId47" xr:uid="{33AC4060-8F20-4C42-AF67-0EFFA42A472E}"/>
    <hyperlink ref="AO19" r:id="rId48" xr:uid="{CFB045D0-9DC0-4E22-B811-E55FEA185552}"/>
    <hyperlink ref="AO20" r:id="rId49" xr:uid="{6DFD8D2D-83C7-497A-BA54-1C32F3D31E68}"/>
    <hyperlink ref="AO27:AO30" r:id="rId50" display="Spjeldventil PA-GF" xr:uid="{98C4D7D3-F912-42DA-9C42-E2409BBDCBDD}"/>
    <hyperlink ref="AO14" r:id="rId51" xr:uid="{C6ACE592-7681-4A19-925E-B03C68A2E802}"/>
    <hyperlink ref="AO15" r:id="rId52" xr:uid="{70581D32-27E3-4B27-A6C1-D10FC762762F}"/>
    <hyperlink ref="AO16" r:id="rId53" xr:uid="{93E1A26F-0882-4693-A76D-E98EB99F7D9E}"/>
    <hyperlink ref="AO24" r:id="rId54" display="FDV" xr:uid="{7F6BCFEF-B9EE-4DAB-B8AA-FE53CA38FCEC}"/>
    <hyperlink ref="AO25" r:id="rId55" display="FDV" xr:uid="{6C6B274D-D6A5-40C2-8F81-BCACBEBBB039}"/>
    <hyperlink ref="AO26" r:id="rId56" xr:uid="{FD873B54-8B79-4D58-A98F-606DD50E6FB9}"/>
    <hyperlink ref="AO46" r:id="rId57" display="FDV" xr:uid="{7A4435C9-8123-4540-ABD8-9F8F260FA6FB}"/>
    <hyperlink ref="AO40" r:id="rId58" display="FDV" xr:uid="{1C9FDA82-D37E-4D1B-88A4-94456F749850}"/>
    <hyperlink ref="AO39" r:id="rId59" display="FDV" xr:uid="{41CF0EA5-0B28-4022-9C89-6056EA5CAA7B}"/>
    <hyperlink ref="AO41" r:id="rId60" xr:uid="{76868F8F-7F8B-4E58-B1C9-1E4CFC2AC96E}"/>
    <hyperlink ref="AO31" r:id="rId61" xr:uid="{FB2209D9-EDF2-4887-A1DF-8A86CD9C2FEB}"/>
    <hyperlink ref="AO32" r:id="rId62" xr:uid="{29088BAB-2C88-44DC-8590-E93503D1CF52}"/>
    <hyperlink ref="AO33" r:id="rId63" xr:uid="{F4736D4C-CB82-4298-AD4A-817FA16518A4}"/>
    <hyperlink ref="AO34" r:id="rId64" xr:uid="{93D70092-FCE4-41B7-B3D1-9F1928869B68}"/>
    <hyperlink ref="AO35" r:id="rId65" xr:uid="{1A0C0589-F958-4EF7-A7E1-825F201524AD}"/>
  </hyperlinks>
  <printOptions gridLinesSet="0"/>
  <pageMargins left="0.39370078740157483" right="0.39370078740157483" top="0" bottom="0.39370078740157483" header="0.19685039370078741" footer="0.19685039370078741"/>
  <pageSetup paperSize="8" scale="15" fitToHeight="0" orientation="landscape" r:id="rId66"/>
  <headerFooter alignWithMargins="0">
    <oddFooter>&amp;CSide &amp;P av &amp;N</oddFooter>
  </headerFooter>
  <drawing r:id="rId67"/>
  <legacyDrawing r:id="rId68"/>
  <mc:AlternateContent xmlns:mc="http://schemas.openxmlformats.org/markup-compatibility/2006">
    <mc:Choice Requires="x14">
      <controls>
        <mc:AlternateContent xmlns:mc="http://schemas.openxmlformats.org/markup-compatibility/2006">
          <mc:Choice Requires="x14">
            <control shapeId="5156" r:id="rId69"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70"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1"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72"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73" name="Button 5387">
              <controlPr defaultSize="0" print="0" autoFill="0" autoPict="0" macro="[0]!createFDV">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21" customWidth="1"/>
    <col min="2" max="2" width="9.42578125" style="21" customWidth="1"/>
    <col min="3" max="3" width="11.140625" style="21" customWidth="1"/>
    <col min="4" max="4" width="53.7109375" style="25" customWidth="1"/>
    <col min="5" max="5" width="15.42578125" style="21" customWidth="1"/>
    <col min="6" max="6" width="12.85546875" style="21" customWidth="1"/>
    <col min="7" max="7" width="30.42578125" style="23" customWidth="1"/>
    <col min="8" max="256" width="11.42578125" style="23" customWidth="1"/>
    <col min="257" max="16384" width="9.140625" style="23"/>
  </cols>
  <sheetData>
    <row r="1" spans="1:7" ht="52.5" customHeight="1" thickBot="1" x14ac:dyDescent="0.25">
      <c r="A1" s="592">
        <f ca="1">TODAY()</f>
        <v>45518</v>
      </c>
      <c r="B1" s="593"/>
      <c r="C1" s="29"/>
      <c r="D1" s="66" t="s">
        <v>397</v>
      </c>
      <c r="E1" s="30">
        <f>Database!$B$3</f>
        <v>0</v>
      </c>
      <c r="F1" s="30"/>
      <c r="G1" s="30">
        <f>Database!$K$3</f>
        <v>0</v>
      </c>
    </row>
    <row r="2" spans="1:7" ht="39" thickBot="1" x14ac:dyDescent="0.25">
      <c r="A2" s="31" t="s">
        <v>292</v>
      </c>
      <c r="B2" s="32" t="s">
        <v>353</v>
      </c>
      <c r="C2" s="32" t="s">
        <v>354</v>
      </c>
      <c r="D2" s="32" t="s">
        <v>348</v>
      </c>
      <c r="E2" s="33" t="s">
        <v>88</v>
      </c>
      <c r="F2" s="32" t="s">
        <v>290</v>
      </c>
      <c r="G2" s="34" t="s">
        <v>291</v>
      </c>
    </row>
    <row r="3" spans="1:7" x14ac:dyDescent="0.2">
      <c r="A3" s="24"/>
      <c r="E3" s="26"/>
      <c r="G3" s="27"/>
    </row>
    <row r="4" spans="1:7" x14ac:dyDescent="0.2">
      <c r="E4" s="26"/>
      <c r="F4" s="22"/>
      <c r="G4" s="27"/>
    </row>
    <row r="5" spans="1:7" x14ac:dyDescent="0.2">
      <c r="E5" s="26"/>
      <c r="G5" s="27"/>
    </row>
    <row r="6" spans="1:7" x14ac:dyDescent="0.2">
      <c r="E6" s="26"/>
      <c r="G6" s="27"/>
    </row>
    <row r="7" spans="1:7" x14ac:dyDescent="0.2">
      <c r="D7" s="28"/>
      <c r="E7" s="26"/>
      <c r="F7" s="24"/>
      <c r="G7" s="27"/>
    </row>
    <row r="8" spans="1:7" x14ac:dyDescent="0.2">
      <c r="E8" s="26"/>
      <c r="G8" s="27"/>
    </row>
    <row r="9" spans="1:7" x14ac:dyDescent="0.2">
      <c r="E9" s="26"/>
      <c r="F9" s="24"/>
      <c r="G9" s="27"/>
    </row>
    <row r="10" spans="1:7" x14ac:dyDescent="0.2">
      <c r="E10" s="26"/>
      <c r="G10" s="27"/>
    </row>
    <row r="11" spans="1:7" x14ac:dyDescent="0.2">
      <c r="D11" s="28"/>
      <c r="E11" s="26"/>
      <c r="G11" s="27"/>
    </row>
    <row r="12" spans="1:7" x14ac:dyDescent="0.2">
      <c r="E12" s="26"/>
      <c r="G12" s="27"/>
    </row>
    <row r="13" spans="1:7" x14ac:dyDescent="0.2">
      <c r="C13" s="24"/>
      <c r="E13" s="26"/>
      <c r="G13" s="27"/>
    </row>
    <row r="14" spans="1:7" x14ac:dyDescent="0.2">
      <c r="C14" s="24"/>
      <c r="E14" s="26"/>
      <c r="G14" s="27"/>
    </row>
    <row r="15" spans="1:7" x14ac:dyDescent="0.2">
      <c r="C15" s="24"/>
      <c r="E15" s="26"/>
      <c r="G15" s="27"/>
    </row>
    <row r="16" spans="1:7" x14ac:dyDescent="0.2">
      <c r="C16" s="24"/>
      <c r="E16" s="26"/>
      <c r="G16" s="27"/>
    </row>
    <row r="17" spans="5:7" x14ac:dyDescent="0.2">
      <c r="E17" s="26"/>
      <c r="G17" s="27"/>
    </row>
    <row r="18" spans="5:7" x14ac:dyDescent="0.2">
      <c r="E18" s="26"/>
      <c r="G18" s="27"/>
    </row>
    <row r="19" spans="5:7" x14ac:dyDescent="0.2">
      <c r="E19" s="26"/>
      <c r="G19" s="27"/>
    </row>
    <row r="20" spans="5:7" x14ac:dyDescent="0.2">
      <c r="E20" s="26"/>
      <c r="G20" s="27"/>
    </row>
    <row r="21" spans="5:7" x14ac:dyDescent="0.2">
      <c r="E21" s="26"/>
      <c r="G21" s="27"/>
    </row>
    <row r="22" spans="5:7" x14ac:dyDescent="0.2">
      <c r="E22" s="26"/>
      <c r="G22" s="27"/>
    </row>
    <row r="23" spans="5:7" x14ac:dyDescent="0.2">
      <c r="E23" s="26"/>
      <c r="G23" s="27"/>
    </row>
    <row r="24" spans="5:7" x14ac:dyDescent="0.2">
      <c r="E24" s="26"/>
      <c r="G24" s="27"/>
    </row>
    <row r="25" spans="5:7" x14ac:dyDescent="0.2">
      <c r="E25" s="26"/>
      <c r="G25" s="27"/>
    </row>
    <row r="26" spans="5:7" x14ac:dyDescent="0.2">
      <c r="E26" s="26"/>
      <c r="G26" s="27"/>
    </row>
    <row r="27" spans="5:7" x14ac:dyDescent="0.2">
      <c r="E27" s="26"/>
      <c r="G27" s="27"/>
    </row>
    <row r="28" spans="5:7" x14ac:dyDescent="0.2">
      <c r="E28" s="26"/>
      <c r="G28" s="27"/>
    </row>
    <row r="29" spans="5:7" x14ac:dyDescent="0.2">
      <c r="E29" s="26"/>
      <c r="G29" s="27"/>
    </row>
    <row r="30" spans="5:7" x14ac:dyDescent="0.2">
      <c r="E30" s="26"/>
      <c r="G30" s="27"/>
    </row>
    <row r="31" spans="5:7" x14ac:dyDescent="0.2">
      <c r="E31" s="26"/>
      <c r="G31" s="27"/>
    </row>
    <row r="32" spans="5:7" x14ac:dyDescent="0.2">
      <c r="E32" s="26"/>
      <c r="G32" s="27"/>
    </row>
    <row r="33" spans="4:7" x14ac:dyDescent="0.2">
      <c r="E33" s="26"/>
      <c r="G33" s="27"/>
    </row>
    <row r="34" spans="4:7" x14ac:dyDescent="0.2">
      <c r="E34" s="26"/>
      <c r="G34" s="27"/>
    </row>
    <row r="35" spans="4:7" x14ac:dyDescent="0.2">
      <c r="E35" s="26"/>
      <c r="G35" s="27"/>
    </row>
    <row r="36" spans="4:7" x14ac:dyDescent="0.2">
      <c r="E36" s="24"/>
      <c r="G36" s="27"/>
    </row>
    <row r="37" spans="4:7" x14ac:dyDescent="0.2">
      <c r="E37" s="26"/>
      <c r="G37" s="27"/>
    </row>
    <row r="38" spans="4:7" x14ac:dyDescent="0.2">
      <c r="E38" s="26"/>
      <c r="G38" s="27"/>
    </row>
    <row r="39" spans="4:7" x14ac:dyDescent="0.2">
      <c r="E39" s="26"/>
      <c r="G39" s="27"/>
    </row>
    <row r="40" spans="4:7" x14ac:dyDescent="0.2">
      <c r="D40" s="28"/>
      <c r="E40" s="26"/>
      <c r="G40" s="27"/>
    </row>
    <row r="41" spans="4:7" x14ac:dyDescent="0.2">
      <c r="E41" s="26"/>
      <c r="G41" s="27"/>
    </row>
    <row r="42" spans="4:7" x14ac:dyDescent="0.2">
      <c r="E42" s="26"/>
      <c r="G42" s="27"/>
    </row>
    <row r="43" spans="4:7" x14ac:dyDescent="0.2">
      <c r="E43" s="26"/>
      <c r="G43" s="27"/>
    </row>
    <row r="44" spans="4:7" x14ac:dyDescent="0.2">
      <c r="E44" s="26"/>
      <c r="G44" s="27"/>
    </row>
    <row r="45" spans="4:7" x14ac:dyDescent="0.2">
      <c r="E45" s="26"/>
      <c r="G45" s="27"/>
    </row>
    <row r="46" spans="4:7" x14ac:dyDescent="0.2">
      <c r="E46" s="26"/>
      <c r="G46" s="27"/>
    </row>
    <row r="47" spans="4:7" x14ac:dyDescent="0.2">
      <c r="E47" s="26"/>
      <c r="G47" s="27"/>
    </row>
    <row r="48" spans="4:7" x14ac:dyDescent="0.2">
      <c r="E48" s="26"/>
      <c r="G48" s="27"/>
    </row>
    <row r="49" spans="5:7" x14ac:dyDescent="0.2">
      <c r="E49" s="26"/>
      <c r="G49" s="27"/>
    </row>
    <row r="50" spans="5:7" x14ac:dyDescent="0.2">
      <c r="E50" s="26"/>
      <c r="G50" s="27"/>
    </row>
    <row r="51" spans="5:7" x14ac:dyDescent="0.2">
      <c r="E51" s="26"/>
      <c r="G51" s="27"/>
    </row>
    <row r="52" spans="5:7" x14ac:dyDescent="0.2">
      <c r="E52" s="26"/>
      <c r="G52" s="27"/>
    </row>
    <row r="53" spans="5:7" x14ac:dyDescent="0.2">
      <c r="E53" s="26"/>
      <c r="G53" s="27"/>
    </row>
    <row r="54" spans="5:7" x14ac:dyDescent="0.2">
      <c r="E54" s="26"/>
      <c r="G54" s="27"/>
    </row>
    <row r="55" spans="5:7" x14ac:dyDescent="0.2">
      <c r="E55" s="26"/>
      <c r="G55" s="27"/>
    </row>
    <row r="56" spans="5:7" x14ac:dyDescent="0.2">
      <c r="E56" s="26"/>
      <c r="G56" s="27"/>
    </row>
    <row r="57" spans="5:7" x14ac:dyDescent="0.2">
      <c r="E57" s="26"/>
      <c r="G57" s="27"/>
    </row>
    <row r="58" spans="5:7" x14ac:dyDescent="0.2">
      <c r="E58" s="26"/>
      <c r="G58" s="27"/>
    </row>
    <row r="59" spans="5:7" x14ac:dyDescent="0.2">
      <c r="E59" s="26"/>
      <c r="G59" s="27"/>
    </row>
    <row r="60" spans="5:7" x14ac:dyDescent="0.2">
      <c r="E60" s="26"/>
      <c r="G60" s="27"/>
    </row>
    <row r="61" spans="5:7" x14ac:dyDescent="0.2">
      <c r="E61" s="26"/>
      <c r="G61" s="27"/>
    </row>
    <row r="62" spans="5:7" x14ac:dyDescent="0.2">
      <c r="E62" s="26"/>
      <c r="G62" s="27"/>
    </row>
    <row r="63" spans="5:7" x14ac:dyDescent="0.2">
      <c r="E63" s="26"/>
      <c r="G63" s="27"/>
    </row>
    <row r="64" spans="5:7" x14ac:dyDescent="0.2">
      <c r="E64" s="26"/>
      <c r="G64" s="27"/>
    </row>
    <row r="65" spans="5:7" x14ac:dyDescent="0.2">
      <c r="E65" s="26"/>
      <c r="G65" s="27"/>
    </row>
    <row r="66" spans="5:7" x14ac:dyDescent="0.2">
      <c r="E66" s="26"/>
      <c r="G66" s="27"/>
    </row>
    <row r="67" spans="5:7" x14ac:dyDescent="0.2">
      <c r="E67" s="26"/>
      <c r="G67" s="27"/>
    </row>
    <row r="68" spans="5:7" x14ac:dyDescent="0.2">
      <c r="E68" s="26"/>
      <c r="G68" s="27"/>
    </row>
    <row r="69" spans="5:7" x14ac:dyDescent="0.2">
      <c r="E69" s="26"/>
      <c r="G69" s="27"/>
    </row>
    <row r="70" spans="5:7" x14ac:dyDescent="0.2">
      <c r="E70" s="26"/>
      <c r="G70" s="27"/>
    </row>
    <row r="71" spans="5:7" x14ac:dyDescent="0.2">
      <c r="E71" s="26"/>
      <c r="G71" s="27"/>
    </row>
    <row r="72" spans="5:7" x14ac:dyDescent="0.2">
      <c r="E72" s="26"/>
      <c r="G72" s="27"/>
    </row>
    <row r="73" spans="5:7" x14ac:dyDescent="0.2">
      <c r="E73" s="26"/>
      <c r="G73" s="27"/>
    </row>
    <row r="74" spans="5:7" x14ac:dyDescent="0.2">
      <c r="E74" s="26"/>
      <c r="G74" s="27"/>
    </row>
    <row r="75" spans="5:7" x14ac:dyDescent="0.2">
      <c r="E75" s="26"/>
      <c r="G75" s="27"/>
    </row>
    <row r="76" spans="5:7" x14ac:dyDescent="0.2">
      <c r="E76" s="26"/>
      <c r="G76" s="27"/>
    </row>
    <row r="77" spans="5:7" x14ac:dyDescent="0.2">
      <c r="E77" s="26"/>
      <c r="G77" s="27"/>
    </row>
    <row r="78" spans="5:7" x14ac:dyDescent="0.2">
      <c r="E78" s="26"/>
      <c r="G78" s="27"/>
    </row>
    <row r="79" spans="5:7" x14ac:dyDescent="0.2">
      <c r="E79" s="26"/>
      <c r="G79" s="27"/>
    </row>
    <row r="80" spans="5:7" x14ac:dyDescent="0.2">
      <c r="E80" s="26"/>
      <c r="G80" s="27"/>
    </row>
    <row r="81" spans="5:7" x14ac:dyDescent="0.2">
      <c r="E81" s="26"/>
      <c r="G81" s="27"/>
    </row>
    <row r="82" spans="5:7" x14ac:dyDescent="0.2">
      <c r="E82" s="26"/>
      <c r="G82" s="27"/>
    </row>
    <row r="83" spans="5:7" x14ac:dyDescent="0.2">
      <c r="E83" s="26"/>
      <c r="G83" s="27"/>
    </row>
    <row r="84" spans="5:7" x14ac:dyDescent="0.2">
      <c r="E84" s="26"/>
      <c r="G84" s="27"/>
    </row>
    <row r="85" spans="5:7" x14ac:dyDescent="0.2">
      <c r="E85" s="26"/>
      <c r="G85" s="27"/>
    </row>
    <row r="86" spans="5:7" x14ac:dyDescent="0.2">
      <c r="E86" s="26"/>
      <c r="G86" s="27"/>
    </row>
    <row r="87" spans="5:7" x14ac:dyDescent="0.2">
      <c r="E87" s="26"/>
      <c r="G87" s="27"/>
    </row>
    <row r="88" spans="5:7" x14ac:dyDescent="0.2">
      <c r="G88" s="27"/>
    </row>
    <row r="89" spans="5:7" x14ac:dyDescent="0.2">
      <c r="G89" s="27"/>
    </row>
    <row r="90" spans="5:7" x14ac:dyDescent="0.2">
      <c r="G90" s="27"/>
    </row>
    <row r="91" spans="5:7" x14ac:dyDescent="0.2">
      <c r="G91" s="27"/>
    </row>
    <row r="92" spans="5:7" x14ac:dyDescent="0.2">
      <c r="G92" s="27"/>
    </row>
    <row r="93" spans="5:7" x14ac:dyDescent="0.2">
      <c r="G93" s="27"/>
    </row>
    <row r="94" spans="5:7" x14ac:dyDescent="0.2">
      <c r="G94" s="27"/>
    </row>
    <row r="95" spans="5:7" x14ac:dyDescent="0.2">
      <c r="G95" s="27"/>
    </row>
    <row r="96" spans="5:7" x14ac:dyDescent="0.2">
      <c r="G96" s="27"/>
    </row>
    <row r="97" spans="7:7" x14ac:dyDescent="0.2">
      <c r="G97" s="27"/>
    </row>
    <row r="98" spans="7:7" x14ac:dyDescent="0.2">
      <c r="G98" s="27"/>
    </row>
    <row r="99" spans="7:7" x14ac:dyDescent="0.2">
      <c r="G99" s="27"/>
    </row>
    <row r="100" spans="7:7" x14ac:dyDescent="0.2">
      <c r="G100" s="27"/>
    </row>
    <row r="101" spans="7:7" x14ac:dyDescent="0.2">
      <c r="G101" s="2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595" t="s">
        <v>397</v>
      </c>
      <c r="B1" s="596"/>
      <c r="C1" s="596"/>
      <c r="D1" s="596"/>
      <c r="E1" s="596"/>
    </row>
    <row r="2" spans="1:5" ht="29.25" customHeight="1" thickBot="1" x14ac:dyDescent="0.25">
      <c r="B2" s="20"/>
    </row>
    <row r="3" spans="1:5" s="5" customFormat="1" ht="15.75" x14ac:dyDescent="0.25">
      <c r="A3" s="44">
        <f>Database!B3</f>
        <v>0</v>
      </c>
      <c r="B3" s="45"/>
      <c r="C3" s="45">
        <f>Database!K3</f>
        <v>0</v>
      </c>
      <c r="D3" s="46"/>
    </row>
    <row r="4" spans="1:5" s="5" customFormat="1" ht="15.75" x14ac:dyDescent="0.25">
      <c r="A4" s="47">
        <f>Database!B4</f>
        <v>0</v>
      </c>
      <c r="B4" s="48"/>
      <c r="C4" s="48" t="str">
        <f>Database!K4</f>
        <v>Kontrakt:</v>
      </c>
      <c r="D4" s="49">
        <f>Database!L4</f>
        <v>0</v>
      </c>
    </row>
    <row r="5" spans="1:5" s="5" customFormat="1" ht="16.5" thickBot="1" x14ac:dyDescent="0.3">
      <c r="A5" s="50" t="str">
        <f>Database!B5</f>
        <v>Dato:</v>
      </c>
      <c r="B5" s="51">
        <f ca="1">Database!G5</f>
        <v>45518</v>
      </c>
      <c r="C5" s="52" t="str">
        <f>Database!K5</f>
        <v>Rev:</v>
      </c>
      <c r="D5" s="53">
        <f>Database!L5</f>
        <v>0</v>
      </c>
    </row>
    <row r="6" spans="1:5" s="5" customFormat="1" ht="15.75" x14ac:dyDescent="0.25">
      <c r="A6" s="48"/>
      <c r="B6" s="54"/>
      <c r="C6" s="48"/>
      <c r="D6" s="55"/>
    </row>
    <row r="8" spans="1:5" ht="23.25" x14ac:dyDescent="0.35">
      <c r="A8" s="594" t="s">
        <v>378</v>
      </c>
      <c r="B8" s="594"/>
      <c r="C8" s="594"/>
      <c r="D8" s="594"/>
      <c r="E8" s="594"/>
    </row>
    <row r="9" spans="1:5" ht="23.25" x14ac:dyDescent="0.35">
      <c r="A9" s="4"/>
      <c r="B9" s="4"/>
      <c r="C9" s="4"/>
      <c r="D9" s="4"/>
    </row>
    <row r="10" spans="1:5" s="39" customFormat="1" ht="20.25" x14ac:dyDescent="0.3">
      <c r="A10" s="57" t="s">
        <v>389</v>
      </c>
      <c r="B10" s="38"/>
      <c r="C10" s="38"/>
      <c r="D10" s="38"/>
    </row>
    <row r="11" spans="1:5" ht="15.75" x14ac:dyDescent="0.25">
      <c r="A11" s="5"/>
      <c r="B11" s="5"/>
      <c r="C11" s="7" t="s">
        <v>293</v>
      </c>
      <c r="D11" s="3" t="s">
        <v>387</v>
      </c>
      <c r="E11" s="1"/>
    </row>
    <row r="12" spans="1:5" ht="6" customHeight="1" x14ac:dyDescent="0.25">
      <c r="A12" s="5"/>
      <c r="B12" s="5"/>
      <c r="C12" s="7"/>
      <c r="D12" s="3"/>
      <c r="E12" s="1"/>
    </row>
    <row r="13" spans="1:5" ht="20.100000000000001" customHeight="1" x14ac:dyDescent="0.2">
      <c r="A13" s="5" t="s">
        <v>304</v>
      </c>
      <c r="B13" s="5"/>
      <c r="C13" s="58">
        <v>0.15</v>
      </c>
      <c r="D13" s="59">
        <f>Database!$DA$5</f>
        <v>0</v>
      </c>
      <c r="E13" s="2"/>
    </row>
    <row r="14" spans="1:5" ht="20.100000000000001" customHeight="1" x14ac:dyDescent="0.2">
      <c r="A14" s="5" t="s">
        <v>305</v>
      </c>
      <c r="B14" s="5"/>
      <c r="C14" s="58">
        <v>0.25</v>
      </c>
      <c r="D14" s="59">
        <f>Database!$DI$5</f>
        <v>0</v>
      </c>
      <c r="E14" s="2"/>
    </row>
    <row r="15" spans="1:5" ht="20.100000000000001" customHeight="1" x14ac:dyDescent="0.2">
      <c r="A15" s="5" t="s">
        <v>306</v>
      </c>
      <c r="B15" s="5"/>
      <c r="C15" s="58">
        <v>0.25</v>
      </c>
      <c r="D15" s="59">
        <f>Database!$DU$5</f>
        <v>0</v>
      </c>
      <c r="E15" s="2"/>
    </row>
    <row r="16" spans="1:5" ht="20.100000000000001" customHeight="1" x14ac:dyDescent="0.2">
      <c r="A16" s="5" t="s">
        <v>307</v>
      </c>
      <c r="B16" s="5"/>
      <c r="C16" s="58">
        <v>0.25</v>
      </c>
      <c r="D16" s="59">
        <f>Database!$EH$5</f>
        <v>0</v>
      </c>
      <c r="E16" s="2"/>
    </row>
    <row r="17" spans="1:5" ht="20.100000000000001" customHeight="1" x14ac:dyDescent="0.2">
      <c r="A17" s="5" t="s">
        <v>308</v>
      </c>
      <c r="B17" s="5"/>
      <c r="C17" s="58">
        <v>0.1</v>
      </c>
      <c r="D17" s="59">
        <f>Database!$EK$5</f>
        <v>0</v>
      </c>
      <c r="E17" s="2"/>
    </row>
    <row r="18" spans="1:5" ht="6" customHeight="1" x14ac:dyDescent="0.2">
      <c r="C18" s="60"/>
      <c r="D18" s="7"/>
    </row>
    <row r="19" spans="1:5" s="5" customFormat="1" ht="24" customHeight="1" x14ac:dyDescent="0.2">
      <c r="A19" s="56" t="s">
        <v>390</v>
      </c>
      <c r="B19" s="56"/>
      <c r="C19" s="61">
        <f>SUM(C13:C18)</f>
        <v>1</v>
      </c>
      <c r="D19" s="62">
        <f>D13*C13+D14*C14+D15*C15+D16*C16+D17*C17</f>
        <v>0</v>
      </c>
    </row>
    <row r="27" spans="1:5" s="8" customFormat="1" ht="20.100000000000001" customHeight="1" x14ac:dyDescent="0.25">
      <c r="C27" s="10" t="s">
        <v>384</v>
      </c>
      <c r="D27" s="10" t="s">
        <v>388</v>
      </c>
      <c r="E27" s="10" t="s">
        <v>385</v>
      </c>
    </row>
    <row r="28" spans="1:5" s="8" customFormat="1" ht="20.100000000000001" customHeight="1" x14ac:dyDescent="0.25"/>
    <row r="29" spans="1:5" s="5" customFormat="1" ht="20.100000000000001" customHeight="1" x14ac:dyDescent="0.25">
      <c r="A29" s="8" t="s">
        <v>383</v>
      </c>
      <c r="C29" s="41">
        <f>Database!$EX$4</f>
        <v>0</v>
      </c>
      <c r="D29" s="42">
        <f>D19</f>
        <v>0</v>
      </c>
      <c r="E29" s="40">
        <f>C29*D29</f>
        <v>0</v>
      </c>
    </row>
    <row r="30" spans="1:5" s="5" customFormat="1" ht="20.100000000000001" customHeight="1" x14ac:dyDescent="0.25">
      <c r="A30" s="8" t="s">
        <v>379</v>
      </c>
      <c r="C30" s="41">
        <f>Database!$EV$4</f>
        <v>0</v>
      </c>
      <c r="D30" s="42" t="e">
        <f>E30/C30</f>
        <v>#DIV/0!</v>
      </c>
      <c r="E30" s="40">
        <v>0</v>
      </c>
    </row>
    <row r="31" spans="1:5" s="5" customFormat="1" ht="20.100000000000001" customHeight="1" x14ac:dyDescent="0.25">
      <c r="A31" s="8" t="s">
        <v>380</v>
      </c>
      <c r="C31" s="41">
        <f>Database!$EW$4+Database!$EW$5</f>
        <v>0</v>
      </c>
      <c r="D31" s="42" t="e">
        <f>E31/C31</f>
        <v>#DIV/0!</v>
      </c>
      <c r="E31" s="40">
        <v>0</v>
      </c>
    </row>
    <row r="32" spans="1:5" s="5" customFormat="1" ht="20.100000000000001" customHeight="1" x14ac:dyDescent="0.25">
      <c r="A32" s="8" t="s">
        <v>381</v>
      </c>
      <c r="C32" s="41">
        <v>0</v>
      </c>
      <c r="D32" s="42">
        <v>0</v>
      </c>
      <c r="E32" s="40">
        <f>C32*D32</f>
        <v>0</v>
      </c>
    </row>
    <row r="33" spans="1:5" s="5" customFormat="1" ht="20.100000000000001" customHeight="1" x14ac:dyDescent="0.25">
      <c r="A33" s="8" t="s">
        <v>382</v>
      </c>
      <c r="C33" s="41">
        <v>0</v>
      </c>
      <c r="D33" s="42">
        <v>0</v>
      </c>
      <c r="E33" s="40">
        <f>C33*D33</f>
        <v>0</v>
      </c>
    </row>
    <row r="34" spans="1:5" s="8" customFormat="1" ht="20.100000000000001" customHeight="1" x14ac:dyDescent="0.25">
      <c r="C34" s="63"/>
      <c r="D34" s="64"/>
      <c r="E34" s="40"/>
    </row>
    <row r="35" spans="1:5" s="8" customFormat="1" ht="20.100000000000001" customHeight="1" thickBot="1" x14ac:dyDescent="0.3">
      <c r="A35" s="6" t="s">
        <v>386</v>
      </c>
      <c r="B35" s="6"/>
      <c r="C35" s="37">
        <f>SUM(C29:C33)</f>
        <v>0</v>
      </c>
      <c r="D35" s="43" t="e">
        <f>E35/C35</f>
        <v>#DIV/0!</v>
      </c>
      <c r="E35" s="3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441</v>
      </c>
      <c r="B8" s="8" t="s">
        <v>439</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42" t="s">
        <v>316</v>
      </c>
      <c r="B14" s="8" t="s">
        <v>437</v>
      </c>
    </row>
    <row r="15" spans="1:2" ht="18" customHeight="1" x14ac:dyDescent="0.2"/>
    <row r="16" spans="1:2" ht="18" customHeight="1" x14ac:dyDescent="0.25">
      <c r="A16" s="543" t="s">
        <v>440</v>
      </c>
      <c r="B16" s="8" t="s">
        <v>438</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32" t="s">
        <v>428</v>
      </c>
    </row>
    <row r="2" spans="1:1" x14ac:dyDescent="0.2">
      <c r="A2" s="537" t="s">
        <v>433</v>
      </c>
    </row>
    <row r="3" spans="1:1" x14ac:dyDescent="0.2">
      <c r="A3" t="s">
        <v>429</v>
      </c>
    </row>
    <row r="4" spans="1:1" x14ac:dyDescent="0.2">
      <c r="A4" t="s">
        <v>430</v>
      </c>
    </row>
    <row r="5" spans="1:1" x14ac:dyDescent="0.2">
      <c r="A5" t="s">
        <v>431</v>
      </c>
    </row>
    <row r="6" spans="1:1" x14ac:dyDescent="0.2">
      <c r="A6" t="s">
        <v>404</v>
      </c>
    </row>
    <row r="7" spans="1:1" x14ac:dyDescent="0.2">
      <c r="A7" s="232" t="s">
        <v>405</v>
      </c>
    </row>
    <row r="8" spans="1:1" x14ac:dyDescent="0.2">
      <c r="A8" t="s">
        <v>436</v>
      </c>
    </row>
    <row r="10" spans="1:1" x14ac:dyDescent="0.2">
      <c r="A10" t="s">
        <v>432</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C2B7E-7423-4FB3-8DD5-B09BE72B5931}">
  <dimension ref="A1:D20"/>
  <sheetViews>
    <sheetView workbookViewId="0">
      <selection activeCell="D15" sqref="D15"/>
    </sheetView>
  </sheetViews>
  <sheetFormatPr defaultRowHeight="12.75" x14ac:dyDescent="0.2"/>
  <cols>
    <col min="4" max="4" width="78.42578125" customWidth="1"/>
  </cols>
  <sheetData>
    <row r="1" spans="1:4" x14ac:dyDescent="0.2">
      <c r="A1" s="581" t="s">
        <v>490</v>
      </c>
      <c r="B1" s="581" t="s">
        <v>491</v>
      </c>
      <c r="C1" s="581" t="s">
        <v>492</v>
      </c>
      <c r="D1" s="581" t="s">
        <v>493</v>
      </c>
    </row>
    <row r="2" spans="1:4" x14ac:dyDescent="0.2">
      <c r="A2">
        <v>0</v>
      </c>
      <c r="B2">
        <v>1</v>
      </c>
      <c r="C2">
        <v>0</v>
      </c>
      <c r="D2" s="581" t="s">
        <v>495</v>
      </c>
    </row>
    <row r="3" spans="1:4" x14ac:dyDescent="0.2">
      <c r="A3">
        <v>0</v>
      </c>
      <c r="B3">
        <v>2</v>
      </c>
      <c r="C3">
        <v>0</v>
      </c>
      <c r="D3" s="581" t="s">
        <v>496</v>
      </c>
    </row>
    <row r="4" spans="1:4" x14ac:dyDescent="0.2">
      <c r="A4">
        <v>0</v>
      </c>
      <c r="B4">
        <v>3</v>
      </c>
      <c r="C4">
        <v>0</v>
      </c>
      <c r="D4" s="581" t="s">
        <v>494</v>
      </c>
    </row>
    <row r="13" spans="1:4" x14ac:dyDescent="0.2">
      <c r="D13" s="582"/>
    </row>
    <row r="14" spans="1:4" x14ac:dyDescent="0.2">
      <c r="D14" s="581"/>
    </row>
    <row r="15" spans="1:4" x14ac:dyDescent="0.2">
      <c r="D15" s="581"/>
    </row>
    <row r="17" spans="4:4" x14ac:dyDescent="0.2">
      <c r="D17" s="581"/>
    </row>
    <row r="18" spans="4:4" x14ac:dyDescent="0.2">
      <c r="D18" s="581"/>
    </row>
    <row r="19" spans="4:4" x14ac:dyDescent="0.2">
      <c r="D19" s="581"/>
    </row>
    <row r="20" spans="4:4" x14ac:dyDescent="0.2">
      <c r="D20" s="5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17" t="s">
        <v>401</v>
      </c>
      <c r="B2" s="123"/>
      <c r="C2" s="124"/>
      <c r="D2" s="125"/>
      <c r="E2" s="126"/>
      <c r="F2" s="117"/>
      <c r="G2" s="117"/>
      <c r="H2" s="116"/>
      <c r="I2" s="228"/>
    </row>
    <row r="3" spans="1:9" ht="15.75" x14ac:dyDescent="0.25">
      <c r="A3" s="117" t="s">
        <v>402</v>
      </c>
      <c r="B3" s="123"/>
      <c r="C3" s="124"/>
      <c r="D3" s="117"/>
      <c r="E3" s="126"/>
      <c r="F3" s="117"/>
      <c r="G3" s="117"/>
      <c r="H3" s="116"/>
      <c r="I3" s="127"/>
    </row>
    <row r="4" spans="1:9" ht="15.75" x14ac:dyDescent="0.25">
      <c r="A4" s="117" t="str">
        <f>"Dato: "</f>
        <v xml:space="preserve">Dato: </v>
      </c>
      <c r="D4" s="229"/>
      <c r="E4" s="229"/>
      <c r="G4" s="230"/>
      <c r="H4" s="230"/>
      <c r="I4" s="117"/>
    </row>
    <row r="5" spans="1:9" x14ac:dyDescent="0.2">
      <c r="A5" s="597">
        <f ca="1">NOW()</f>
        <v>45518.857302430559</v>
      </c>
      <c r="B5" s="598"/>
      <c r="C5" s="598"/>
      <c r="D5" s="598"/>
      <c r="E5" s="598"/>
    </row>
    <row r="6" spans="1:9" x14ac:dyDescent="0.2">
      <c r="B6" t="s">
        <v>403</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False</openByDefault>
  <xsnScope/>
</customXsn>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6.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Props1.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5.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6.xml><?xml version="1.0" encoding="utf-8"?>
<ds:datastoreItem xmlns:ds="http://schemas.openxmlformats.org/officeDocument/2006/customXml" ds:itemID="{FA5E41D1-21A9-4F24-B709-E52F2D31AC71}">
  <ds:schemaRefs>
    <ds:schemaRef ds:uri="office.server.polic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Database</vt:lpstr>
      <vt:lpstr>Revisjonsoversikt</vt:lpstr>
      <vt:lpstr>Framdriftsrapport</vt:lpstr>
      <vt:lpstr>Fargekoder</vt:lpstr>
      <vt:lpstr>Hjelp</vt:lpstr>
      <vt:lpstr>Semantic</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2024-08-14T19:34:24Z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