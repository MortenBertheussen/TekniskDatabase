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Morten\Desktop\TekniskDatabase\"/>
    </mc:Choice>
  </mc:AlternateContent>
  <xr:revisionPtr revIDLastSave="0" documentId="13_ncr:1_{5E1CCB13-7D00-4F0F-9973-F85C27325D71}" xr6:coauthVersionLast="47" xr6:coauthVersionMax="47" xr10:uidLastSave="{00000000-0000-0000-0000-000000000000}"/>
  <bookViews>
    <workbookView xWindow="-38520" yWindow="-120" windowWidth="38640" windowHeight="21120" tabRatio="610" xr2:uid="{00000000-000D-0000-FFFF-FFFF00000000}"/>
  </bookViews>
  <sheets>
    <sheet name="Database" sheetId="1" r:id="rId1"/>
    <sheet name="Revisjonsoversikt" sheetId="2" r:id="rId2"/>
    <sheet name="Framdriftsrapport" sheetId="3" r:id="rId3"/>
    <sheet name="Fargekoder" sheetId="4" r:id="rId4"/>
    <sheet name="Hjelp" sheetId="8" r:id="rId5"/>
    <sheet name="Mall Logo" sheetId="5" state="hidden" r:id="rId6"/>
  </sheets>
  <functionGroups builtInGroupCount="19"/>
  <definedNames>
    <definedName name="_xlnm._FilterDatabase" localSheetId="0" hidden="1">Database!$A$10:$FD$17</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A5" i="1" l="1"/>
  <c r="D13" i="3" s="1"/>
  <c r="BI4" i="1"/>
  <c r="AV8" i="1"/>
  <c r="AW8" i="1"/>
  <c r="A5" i="5"/>
  <c r="A4" i="5"/>
  <c r="EK5" i="1"/>
  <c r="D17" i="3" s="1"/>
  <c r="EH5" i="1"/>
  <c r="D16" i="3" s="1"/>
  <c r="DU5" i="1"/>
  <c r="D15" i="3" s="1"/>
  <c r="DI5" i="1"/>
  <c r="D14" i="3" s="1"/>
  <c r="BL8" i="1"/>
  <c r="BM8" i="1"/>
  <c r="BN8" i="1"/>
  <c r="BN4" i="1" s="1"/>
  <c r="BO8" i="1"/>
  <c r="BP8" i="1"/>
  <c r="BP4" i="1" s="1"/>
  <c r="BQ8" i="1"/>
  <c r="BQ4" i="1" s="1"/>
  <c r="G5" i="1"/>
  <c r="B5" i="3" s="1"/>
  <c r="L5" i="1"/>
  <c r="D5" i="3" s="1"/>
  <c r="EW4" i="1"/>
  <c r="EW5" i="1" s="1"/>
  <c r="C31" i="3" s="1"/>
  <c r="D31" i="3" s="1"/>
  <c r="E32" i="3"/>
  <c r="E33" i="3"/>
  <c r="C19" i="3"/>
  <c r="A3" i="3"/>
  <c r="C3" i="3"/>
  <c r="A4" i="3"/>
  <c r="C4" i="3"/>
  <c r="D4" i="3"/>
  <c r="A5" i="3"/>
  <c r="C5" i="3"/>
  <c r="G1" i="2"/>
  <c r="E1" i="2"/>
  <c r="A1" i="2"/>
  <c r="BH8" i="1" l="1"/>
  <c r="EV3" i="1" s="1"/>
  <c r="EX4" i="1"/>
  <c r="C29" i="3" s="1"/>
  <c r="ET9" i="1"/>
  <c r="AS8" i="1" s="1"/>
  <c r="D19" i="3"/>
  <c r="D29" i="3" s="1"/>
  <c r="EV4" i="1"/>
  <c r="BM4" i="1"/>
  <c r="BJ4" i="1" s="1"/>
  <c r="E29" i="3" l="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List>
</comments>
</file>

<file path=xl/sharedStrings.xml><?xml version="1.0" encoding="utf-8"?>
<sst xmlns="http://schemas.openxmlformats.org/spreadsheetml/2006/main" count="560" uniqueCount="465">
  <si>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</si>
  <si>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</si>
  <si>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</si>
  <si>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</si>
  <si>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</si>
  <si>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</si>
  <si>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</si>
  <si>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</si>
  <si>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</si>
  <si>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</si>
  <si>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</si>
  <si>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</si>
  <si>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</si>
  <si>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</si>
  <si>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</si>
  <si>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</si>
  <si>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</si>
  <si>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</si>
  <si>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</si>
  <si>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</si>
  <si>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</si>
  <si>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</si>
  <si>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</si>
  <si>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</si>
  <si>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</si>
  <si>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</si>
  <si>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</si>
  <si>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</si>
  <si>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</si>
  <si>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</si>
  <si>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</si>
  <si>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</si>
  <si>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</si>
  <si>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</si>
  <si>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</si>
  <si>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</si>
  <si>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</si>
  <si>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</si>
  <si>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</si>
  <si>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</si>
  <si>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</si>
  <si>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</si>
  <si>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</si>
  <si>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</si>
  <si>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</si>
  <si>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</si>
  <si>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</si>
  <si>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</si>
  <si>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</si>
  <si>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</si>
  <si>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</si>
  <si>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</si>
  <si>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</si>
  <si>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</si>
  <si>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</si>
  <si>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</si>
  <si>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</si>
  <si>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</si>
  <si>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</si>
  <si>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</si>
  <si>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</si>
  <si>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</si>
  <si>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</si>
  <si>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</si>
  <si>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</si>
  <si>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</si>
  <si>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</si>
  <si>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</si>
  <si>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</si>
  <si>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</si>
  <si>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</si>
  <si>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</si>
  <si>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</si>
  <si>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</si>
  <si>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</si>
  <si>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</si>
  <si>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</si>
  <si>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</si>
  <si>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</si>
  <si>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</si>
  <si>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</si>
  <si>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</si>
  <si>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</si>
  <si>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</si>
  <si>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</si>
  <si>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</si>
  <si>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</si>
  <si>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</si>
  <si>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</si>
  <si>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</si>
  <si>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</si>
  <si>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</si>
  <si>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</si>
  <si>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</si>
  <si>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</si>
  <si>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</si>
  <si>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</si>
  <si>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</si>
  <si>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</si>
  <si>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</si>
  <si>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</si>
  <si>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</si>
  <si>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</si>
  <si>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</si>
  <si>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</si>
  <si>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</si>
  <si>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</si>
  <si>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</si>
  <si>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</si>
  <si>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</si>
  <si>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</si>
  <si>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</si>
  <si>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</si>
  <si>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</si>
  <si>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</si>
  <si>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</si>
  <si>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</si>
  <si>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</si>
  <si>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</si>
  <si>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</si>
  <si>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</si>
  <si>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</si>
  <si>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</si>
  <si>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</si>
  <si>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</si>
  <si>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</si>
  <si>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</si>
  <si>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</si>
  <si>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</si>
  <si>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</si>
  <si>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</si>
  <si>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</si>
  <si>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</si>
  <si>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</si>
  <si>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</si>
  <si>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</si>
  <si>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</si>
  <si>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</si>
  <si>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</si>
  <si>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</si>
  <si>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</si>
  <si>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</si>
  <si>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</si>
  <si>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</si>
  <si>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</si>
  <si>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</si>
  <si>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</si>
  <si>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</si>
  <si>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</si>
  <si>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</si>
  <si>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</si>
  <si>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</si>
  <si>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</si>
  <si>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</si>
  <si>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</si>
  <si>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</si>
  <si>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</si>
  <si>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</si>
  <si>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</si>
  <si>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</si>
  <si>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</si>
  <si>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</si>
  <si>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</si>
  <si>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</si>
  <si>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</si>
  <si>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</si>
  <si>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</si>
  <si>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</si>
  <si>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</si>
  <si>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</si>
  <si>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</si>
  <si>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</si>
  <si>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</si>
  <si>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</si>
  <si>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</si>
  <si>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</si>
  <si>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</si>
  <si>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</si>
  <si>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</si>
  <si>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</si>
  <si>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</si>
  <si>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</si>
  <si>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</si>
  <si>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</si>
  <si>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</si>
  <si>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</si>
  <si>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</si>
  <si>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</si>
  <si>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</si>
  <si>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</si>
  <si>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</si>
  <si>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</si>
  <si>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</si>
  <si>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</si>
  <si>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</si>
  <si>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</si>
  <si>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</si>
  <si>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</si>
  <si>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</si>
  <si>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</si>
  <si>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</si>
  <si>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</si>
  <si>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</si>
  <si>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</si>
  <si>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</si>
  <si>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</si>
  <si>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</si>
  <si>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</si>
  <si>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</si>
  <si>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</si>
  <si>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</si>
  <si>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</si>
  <si>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</si>
  <si>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</si>
  <si>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</si>
  <si>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</si>
  <si>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</si>
  <si>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</si>
  <si>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</si>
  <si>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</si>
  <si>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</si>
  <si>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</si>
  <si>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</si>
  <si>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</si>
  <si>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</si>
  <si>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</si>
  <si>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</si>
  <si>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</si>
  <si>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</si>
  <si>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</si>
  <si>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</si>
  <si>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</si>
  <si>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</si>
  <si>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</si>
  <si>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</si>
  <si>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</si>
  <si>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</si>
  <si>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</si>
  <si>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</si>
  <si>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</si>
  <si>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</si>
  <si>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</si>
  <si>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</si>
  <si>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</si>
  <si>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</si>
  <si>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</si>
  <si>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</si>
  <si>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</si>
  <si>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</si>
  <si>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</si>
  <si>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</si>
  <si>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</si>
  <si>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</si>
  <si>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</si>
  <si>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</si>
  <si>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</si>
  <si>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</si>
  <si>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</si>
  <si>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</si>
  <si>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</si>
  <si>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</si>
  <si>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</si>
  <si>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</si>
  <si>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</si>
  <si>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</si>
  <si>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</si>
  <si>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</si>
  <si>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</si>
  <si>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</si>
  <si>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</si>
  <si>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</si>
  <si>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</si>
  <si>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</si>
  <si>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</si>
  <si>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</si>
  <si>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</si>
  <si>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</si>
  <si>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</si>
  <si>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</si>
  <si>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</si>
  <si>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</si>
  <si>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</si>
  <si>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</si>
  <si>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</si>
  <si>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</si>
  <si>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</si>
  <si>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</si>
  <si>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</si>
  <si>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</si>
  <si>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</si>
  <si>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</si>
  <si>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</si>
  <si>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</si>
  <si>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</si>
  <si>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</si>
  <si>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</si>
  <si>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</si>
  <si>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</si>
  <si>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</si>
  <si>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</si>
  <si>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</si>
  <si>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</si>
  <si>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</si>
  <si>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</si>
  <si>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</si>
  <si>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</si>
  <si>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</si>
  <si>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</si>
  <si>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</si>
  <si>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</si>
  <si>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</si>
  <si>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</si>
  <si>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</si>
  <si>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</si>
  <si>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</si>
  <si>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</si>
  <si>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</si>
  <si>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</si>
  <si>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</si>
  <si>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</si>
  <si>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</si>
  <si>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</si>
  <si>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</si>
  <si>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</si>
  <si>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</si>
  <si>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</si>
  <si>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</si>
  <si>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</si>
  <si>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</si>
  <si>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</si>
  <si>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</si>
  <si>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</si>
  <si>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</si>
  <si>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</si>
  <si>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</si>
  <si>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</si>
  <si>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</si>
  <si>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</si>
  <si>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</si>
  <si>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</si>
  <si>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</si>
  <si>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</si>
  <si>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</si>
  <si>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</si>
  <si>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</si>
  <si>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</si>
  <si>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</si>
  <si>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</si>
  <si>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</si>
  <si>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</si>
  <si>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</si>
  <si>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</si>
  <si>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</si>
  <si>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</si>
  <si>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</si>
  <si>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</si>
  <si>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</si>
  <si>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</si>
  <si>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</si>
  <si>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</si>
  <si>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</si>
  <si>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</si>
  <si>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</si>
  <si>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</si>
  <si>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</si>
  <si>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</si>
  <si>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</si>
  <si>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</si>
  <si>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</si>
  <si>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</si>
  <si>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</si>
  <si>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</si>
  <si>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</si>
  <si>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</si>
  <si>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</si>
  <si>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</si>
  <si>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</si>
  <si>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</si>
  <si>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</si>
  <si>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</si>
  <si>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</si>
  <si>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</si>
  <si>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</si>
  <si>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</si>
  <si>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</si>
  <si>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</si>
  <si>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</si>
  <si>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</si>
  <si>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</si>
  <si>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</si>
  <si>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</si>
  <si>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</si>
  <si>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</si>
  <si>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</si>
  <si>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</si>
  <si>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</si>
  <si>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</si>
  <si>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</si>
  <si>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</si>
  <si>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</si>
  <si>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</si>
  <si>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</si>
  <si>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</si>
  <si>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</si>
  <si>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</si>
  <si>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</si>
  <si>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</si>
  <si>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</si>
  <si>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</si>
  <si>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</si>
  <si>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</si>
  <si>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</si>
  <si>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</si>
  <si>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</si>
  <si>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</si>
  <si>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</si>
  <si>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</si>
  <si>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</si>
  <si>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</si>
  <si>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</si>
  <si>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</si>
  <si>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</si>
  <si>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</si>
  <si>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</si>
  <si>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</si>
  <si>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</si>
  <si>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</si>
  <si>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</si>
  <si>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</si>
  <si>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</si>
  <si>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</si>
  <si>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</si>
  <si>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</si>
  <si>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</si>
  <si>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</si>
  <si>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</si>
  <si>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</si>
  <si>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</si>
  <si>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</si>
  <si>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</si>
  <si>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</si>
  <si>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</si>
  <si>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</si>
  <si>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RT401</t>
  </si>
  <si>
    <t>RP401</t>
  </si>
  <si>
    <t>BA</t>
  </si>
  <si>
    <t>RT402</t>
  </si>
  <si>
    <t>RD401</t>
  </si>
  <si>
    <t>A-22P-A18</t>
  </si>
  <si>
    <t>tiss</t>
  </si>
  <si>
    <t>001</t>
  </si>
  <si>
    <t>434.001</t>
  </si>
  <si>
    <t>22PDP-186</t>
  </si>
  <si>
    <t>22WP-116</t>
  </si>
  <si>
    <t>01DT-1QL</t>
  </si>
  <si>
    <t>A-22P-A20</t>
  </si>
  <si>
    <t>01DT-1QH</t>
  </si>
  <si>
    <t>RP412</t>
  </si>
  <si>
    <t>RP530</t>
  </si>
  <si>
    <t>003</t>
  </si>
  <si>
    <t>SB401</t>
  </si>
  <si>
    <t>NRQ24A-SZ</t>
  </si>
  <si>
    <t>R3040-16-S3</t>
  </si>
  <si>
    <t>ALLE KOLONNER</t>
  </si>
  <si>
    <t>AVANSERT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</si>
</sst>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7"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rgb="FFFFFFFF"/>
        <bgColor indexed="64"/>
      </patternFill>
    </fill>
    <fill>
      <patternFill patternType="solid">
        <fgColor theme="0"/>
        <bgColor indexed="64"/>
      </patternFill>
    </fill>
  </fills>
  <borders count="60">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s>
  <cellStyleXfs count="4">
    <xf numFmtId="0" fontId="0" fillId="0" borderId="0"/>
    <xf numFmtId="0" fontId="1" fillId="0" borderId="0"/>
    <xf numFmtId="9" fontId="1" fillId="0" borderId="0" applyFont="0" applyFill="0" applyBorder="0" applyAlignment="0" applyProtection="0"/>
    <xf numFmtId="164" fontId="1" fillId="0" borderId="0" applyFont="0" applyFill="0" applyBorder="0" applyAlignment="0" applyProtection="0"/>
  </cellStyleXfs>
  <cellXfs count="645">
    <xf numFmtId="0" fontId="0" fillId="0" borderId="0" xfId="0"/>
    <xf numFmtId="0" fontId="10" fillId="0" borderId="0" xfId="0" applyFont="1" applyAlignment="1">
      <alignment horizontal="right"/>
    </xf>
    <xf numFmtId="9" fontId="10" fillId="0" borderId="0" xfId="2"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0" xfId="0" applyFont="1" applyAlignment="1" applyProtection="1">
      <alignment horizontal="center" wrapText="1"/>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2" applyFont="1"/>
    <xf numFmtId="9" fontId="9" fillId="0" borderId="1" xfId="2"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2"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2"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2" applyFont="1"/>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3" applyNumberFormat="1" applyFont="1" applyFill="1" applyBorder="1" applyProtection="1"/>
    <xf numFmtId="171" fontId="2" fillId="0" borderId="38" xfId="3" applyNumberFormat="1" applyFont="1" applyFill="1" applyBorder="1" applyProtection="1"/>
    <xf numFmtId="171" fontId="2" fillId="0" borderId="32" xfId="3"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2"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3"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3"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3"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3" applyNumberFormat="1" applyFont="1" applyFill="1" applyBorder="1" applyAlignment="1" applyProtection="1">
      <alignment horizontal="centerContinuous"/>
      <protection locked="0"/>
    </xf>
    <xf numFmtId="167" fontId="4" fillId="10" borderId="20" xfId="3"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2" applyFont="1" applyFill="1" applyBorder="1" applyAlignment="1" applyProtection="1">
      <alignment horizontal="right"/>
      <protection locked="0"/>
    </xf>
    <xf numFmtId="9" fontId="28" fillId="10" borderId="18" xfId="2" applyFont="1" applyFill="1" applyBorder="1" applyAlignment="1" applyProtection="1">
      <alignment horizontal="right"/>
    </xf>
    <xf numFmtId="9" fontId="28" fillId="10" borderId="20" xfId="2"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3"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2"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4" fillId="10" borderId="51" xfId="0" applyFont="1" applyFill="1" applyBorder="1" applyAlignment="1" applyProtection="1">
      <alignment horizontal="center" vertical="center"/>
      <protection locked="0"/>
    </xf>
    <xf numFmtId="1" fontId="7" fillId="10" borderId="9" xfId="0" applyNumberFormat="1" applyFont="1" applyFill="1" applyBorder="1" applyAlignment="1" applyProtection="1">
      <alignment horizontal="left" vertical="center"/>
      <protection locked="0"/>
    </xf>
    <xf numFmtId="0" fontId="7" fillId="10" borderId="9" xfId="0" applyFont="1" applyFill="1" applyBorder="1" applyAlignment="1" applyProtection="1">
      <alignment horizontal="center" vertical="center"/>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2"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2" applyFont="1" applyFill="1" applyBorder="1" applyAlignment="1" applyProtection="1">
      <alignment horizontal="centerContinuous" vertical="center"/>
      <protection locked="0"/>
    </xf>
    <xf numFmtId="9" fontId="3" fillId="10" borderId="56" xfId="2" applyFont="1" applyFill="1" applyBorder="1" applyAlignment="1" applyProtection="1">
      <alignment horizontal="centerContinuous" vertical="center"/>
      <protection locked="0"/>
    </xf>
    <xf numFmtId="9" fontId="3" fillId="10" borderId="57" xfId="2"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166" fontId="1" fillId="0" borderId="2" xfId="0" quotePrefix="1" applyNumberFormat="1" applyFont="1" applyBorder="1" applyAlignment="1" applyProtection="1">
      <alignment horizontal="left" vertical="center"/>
      <protection locked="0"/>
    </xf>
    <xf numFmtId="0" fontId="1" fillId="0" borderId="7"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0" borderId="8" xfId="0" applyFont="1" applyBorder="1" applyAlignment="1" applyProtection="1">
      <alignment vertical="center" wrapText="1"/>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protection locked="0"/>
    </xf>
    <xf numFmtId="11" fontId="1" fillId="0" borderId="9" xfId="0" applyNumberFormat="1" applyFont="1" applyBorder="1" applyAlignment="1" applyProtection="1">
      <alignment horizontal="center" vertical="center"/>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0" borderId="33" xfId="0" applyFont="1" applyBorder="1" applyAlignment="1" applyProtection="1">
      <alignment horizontal="left" vertical="center" wrapText="1"/>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0" fontId="1" fillId="10" borderId="34" xfId="0" applyFont="1" applyFill="1" applyBorder="1" applyAlignment="1" applyProtection="1">
      <alignment horizontal="center" vertical="center"/>
      <protection locked="0"/>
    </xf>
    <xf numFmtId="0" fontId="1" fillId="10" borderId="33" xfId="0" applyFont="1" applyFill="1" applyBorder="1" applyAlignment="1" applyProtection="1">
      <alignment horizontal="left" vertical="center"/>
      <protection locked="0"/>
    </xf>
    <xf numFmtId="0" fontId="1" fillId="10" borderId="10" xfId="0" applyFont="1" applyFill="1" applyBorder="1" applyAlignment="1" applyProtection="1">
      <alignment horizontal="left" vertical="center"/>
      <protection locked="0"/>
    </xf>
    <xf numFmtId="171" fontId="1" fillId="0" borderId="10" xfId="1" applyNumberFormat="1" applyBorder="1" applyAlignment="1" applyProtection="1">
      <alignment horizontal="center" vertical="center"/>
      <protection locked="0"/>
    </xf>
    <xf numFmtId="171" fontId="1" fillId="0" borderId="8" xfId="0" applyNumberFormat="1" applyFont="1" applyBorder="1" applyAlignment="1" applyProtection="1">
      <alignment vertical="center"/>
      <protection locked="0"/>
    </xf>
    <xf numFmtId="171" fontId="1" fillId="0" borderId="9" xfId="0" applyNumberFormat="1" applyFont="1" applyBorder="1" applyAlignment="1" applyProtection="1">
      <alignment horizontal="right" vertical="center"/>
      <protection locked="0"/>
    </xf>
    <xf numFmtId="0" fontId="1" fillId="0" borderId="0" xfId="0" applyFont="1" applyAlignment="1" applyProtection="1">
      <alignment vertical="center"/>
      <protection locked="0"/>
    </xf>
    <xf numFmtId="165" fontId="1" fillId="0" borderId="2" xfId="0" quotePrefix="1" applyNumberFormat="1" applyFont="1" applyBorder="1" applyAlignment="1" applyProtection="1">
      <alignment horizontal="right" vertical="center"/>
      <protection locked="0"/>
    </xf>
    <xf numFmtId="14" fontId="1" fillId="10" borderId="8" xfId="0" applyNumberFormat="1" applyFont="1" applyFill="1" applyBorder="1" applyAlignment="1" applyProtection="1">
      <alignment horizontal="center" vertical="center"/>
      <protection locked="0"/>
    </xf>
    <xf numFmtId="165" fontId="1" fillId="0" borderId="2" xfId="0" quotePrefix="1"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 fillId="0" borderId="3" xfId="0" applyFont="1" applyBorder="1" applyAlignment="1" applyProtection="1">
      <alignment horizontal="center" vertical="center" wrapText="1"/>
      <protection locked="0"/>
    </xf>
    <xf numFmtId="169" fontId="1" fillId="0" borderId="4" xfId="0" applyNumberFormat="1"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1" fontId="1" fillId="0" borderId="8" xfId="0" applyNumberFormat="1" applyFont="1" applyBorder="1" applyAlignment="1" applyProtection="1">
      <alignment horizontal="center" vertical="center"/>
      <protection locked="0"/>
    </xf>
    <xf numFmtId="0" fontId="13" fillId="0" borderId="6" xfId="0" quotePrefix="1" applyFont="1" applyBorder="1" applyAlignment="1" applyProtection="1">
      <alignment horizontal="center" vertical="center"/>
      <protection locked="0"/>
    </xf>
    <xf numFmtId="0" fontId="1" fillId="15" borderId="7" xfId="0" applyFont="1" applyFill="1" applyBorder="1" applyAlignment="1" applyProtection="1">
      <alignment horizontal="left" vertical="center"/>
      <protection locked="0"/>
    </xf>
    <xf numFmtId="0" fontId="1" fillId="0" borderId="29" xfId="0" applyFont="1" applyBorder="1" applyAlignment="1" applyProtection="1">
      <alignment vertical="center" wrapText="1"/>
      <protection locked="0"/>
    </xf>
    <xf numFmtId="0" fontId="32" fillId="0" borderId="3"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3" fillId="0" borderId="9" xfId="0" applyFont="1" applyBorder="1" applyAlignment="1" applyProtection="1">
      <alignment horizontal="center" vertical="center" wrapText="1"/>
      <protection locked="0"/>
    </xf>
    <xf numFmtId="0" fontId="1" fillId="0" borderId="7"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1" fontId="32" fillId="0" borderId="8" xfId="0" applyNumberFormat="1" applyFont="1" applyBorder="1" applyAlignment="1" applyProtection="1">
      <alignment horizontal="center" vertical="center"/>
      <protection locked="0"/>
    </xf>
    <xf numFmtId="1" fontId="32" fillId="0" borderId="51" xfId="0" applyNumberFormat="1"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9" xfId="0" applyFont="1" applyBorder="1" applyAlignment="1" applyProtection="1">
      <alignment horizontal="left" vertical="center"/>
      <protection locked="0"/>
    </xf>
    <xf numFmtId="14" fontId="1" fillId="0" borderId="8" xfId="0" quotePrefix="1" applyNumberFormat="1" applyFont="1" applyBorder="1" applyAlignment="1" applyProtection="1">
      <alignment horizontal="center" vertical="center"/>
      <protection locked="0"/>
    </xf>
    <xf numFmtId="14" fontId="7" fillId="0" borderId="9" xfId="0" quotePrefix="1" applyNumberFormat="1" applyFont="1" applyBorder="1" applyAlignment="1" applyProtection="1">
      <alignment horizontal="center" vertical="center"/>
      <protection locked="0"/>
    </xf>
    <xf numFmtId="173" fontId="1" fillId="0" borderId="6" xfId="0" applyNumberFormat="1" applyFont="1" applyBorder="1" applyAlignment="1" applyProtection="1">
      <alignment horizontal="center" vertical="center"/>
      <protection locked="0"/>
    </xf>
    <xf numFmtId="173" fontId="1" fillId="0" borderId="8" xfId="0" applyNumberFormat="1" applyFont="1" applyBorder="1" applyAlignment="1" applyProtection="1">
      <alignment horizontal="center" vertical="center"/>
      <protection locked="0"/>
    </xf>
    <xf numFmtId="173" fontId="1" fillId="0" borderId="9" xfId="0" applyNumberFormat="1" applyFont="1" applyBorder="1" applyAlignment="1" applyProtection="1">
      <alignment horizontal="center" vertical="center"/>
      <protection locked="0"/>
    </xf>
    <xf numFmtId="0" fontId="1" fillId="0" borderId="51" xfId="0" applyFont="1" applyBorder="1" applyAlignment="1" applyProtection="1">
      <alignment horizontal="center" vertical="center"/>
      <protection locked="0"/>
    </xf>
    <xf numFmtId="0" fontId="7" fillId="0" borderId="9" xfId="0" applyFont="1" applyBorder="1" applyAlignment="1" applyProtection="1">
      <alignment horizontal="left" vertical="center"/>
      <protection locked="0"/>
    </xf>
    <xf numFmtId="1" fontId="1" fillId="0" borderId="10" xfId="0" applyNumberFormat="1" applyFont="1" applyBorder="1" applyAlignment="1" applyProtection="1">
      <alignment horizontal="center" vertical="center"/>
      <protection locked="0"/>
    </xf>
    <xf numFmtId="0" fontId="4" fillId="0" borderId="51" xfId="0" applyFont="1" applyBorder="1" applyAlignment="1" applyProtection="1">
      <alignment horizontal="center" vertical="center"/>
      <protection locked="0"/>
    </xf>
    <xf numFmtId="1" fontId="7" fillId="0" borderId="9" xfId="0" applyNumberFormat="1" applyFont="1" applyBorder="1" applyAlignment="1" applyProtection="1">
      <alignment horizontal="left" vertical="center"/>
      <protection locked="0"/>
    </xf>
    <xf numFmtId="0" fontId="7" fillId="0" borderId="9" xfId="0"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1" fillId="0" borderId="33" xfId="0" applyFont="1" applyBorder="1" applyAlignment="1" applyProtection="1">
      <alignment horizontal="left" vertical="center"/>
      <protection locked="0"/>
    </xf>
    <xf numFmtId="0" fontId="1" fillId="0" borderId="10" xfId="0" applyFont="1" applyBorder="1" applyAlignment="1" applyProtection="1">
      <alignment horizontal="left" vertical="center"/>
      <protection locked="0"/>
    </xf>
    <xf numFmtId="11" fontId="1" fillId="0" borderId="9" xfId="0" quotePrefix="1" applyNumberFormat="1" applyFont="1" applyBorder="1" applyAlignment="1" applyProtection="1">
      <alignment horizontal="center" vertical="center"/>
      <protection locked="0"/>
    </xf>
    <xf numFmtId="14" fontId="1" fillId="0" borderId="8" xfId="0" applyNumberFormat="1" applyFont="1" applyBorder="1" applyAlignment="1" applyProtection="1">
      <alignment horizontal="center" vertical="center"/>
      <protection locked="0"/>
    </xf>
    <xf numFmtId="169" fontId="1" fillId="0" borderId="4" xfId="0" quotePrefix="1" applyNumberFormat="1" applyFont="1" applyBorder="1" applyAlignment="1" applyProtection="1">
      <alignment horizontal="center" vertical="center"/>
      <protection locked="0"/>
    </xf>
    <xf numFmtId="0" fontId="1" fillId="0" borderId="51" xfId="0" applyFont="1" applyBorder="1" applyAlignment="1" applyProtection="1">
      <alignment vertical="center" wrapText="1"/>
      <protection locked="0"/>
    </xf>
    <xf numFmtId="0" fontId="32" fillId="0" borderId="8" xfId="0" applyFont="1" applyBorder="1" applyAlignment="1" applyProtection="1">
      <alignment horizontal="center" vertical="center"/>
      <protection locked="0"/>
    </xf>
    <xf numFmtId="14" fontId="4" fillId="0" borderId="51" xfId="0" applyNumberFormat="1" applyFont="1" applyBorder="1" applyAlignment="1" applyProtection="1">
      <alignment horizontal="center" vertical="center"/>
      <protection locked="0"/>
    </xf>
    <xf numFmtId="1" fontId="32" fillId="10" borderId="51" xfId="0" applyNumberFormat="1" applyFont="1" applyFill="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0" fontId="1" fillId="14" borderId="8" xfId="0" applyFont="1" applyFill="1" applyBorder="1" applyAlignment="1" applyProtection="1">
      <alignment horizontal="center" vertical="center"/>
      <protection locked="0"/>
    </xf>
    <xf numFmtId="0" fontId="2" fillId="10" borderId="15"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cellXfs>
  <cellStyles count="4">
    <cellStyle name="Comma [0]" xfId="3" builtinId="6"/>
    <cellStyle name="Normal" xfId="0" builtinId="0"/>
    <cellStyle name="Normal_H 434 25" xfId="1" xr:uid="{00000000-0005-0000-0000-000002000000}"/>
    <cellStyle name="Per cent" xfId="2"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5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17"/>
  <sheetViews>
    <sheetView showGridLines="0" tabSelected="1" zoomScaleNormal="100" zoomScaleSheetLayoutView="75" workbookViewId="0">
      <pane xSplit="12" ySplit="10" topLeftCell="AE11" activePane="bottomRight" state="frozen"/>
      <selection pane="topRight" activeCell="M1" sqref="M1"/>
      <selection pane="bottomLeft" activeCell="A10" sqref="A10"/>
      <selection pane="bottomRight" activeCell="G5" sqref="G5"/>
    </sheetView>
  </sheetViews>
  <sheetFormatPr defaultColWidth="15.7109375" defaultRowHeight="20.100000000000001" customHeight="1" outlineLevelCol="1" x14ac:dyDescent="0.2"/>
  <cols>
    <col min="1" max="1" width="5.85546875" style="17" customWidth="1"/>
    <col min="2" max="2" width="1.85546875" style="17" customWidth="1"/>
    <col min="3" max="3" width="7.140625" style="17" bestFit="1" customWidth="1"/>
    <col min="4" max="4" width="1.7109375" style="17" customWidth="1"/>
    <col min="5" max="5" width="4.7109375" style="17" customWidth="1"/>
    <col min="6" max="6" width="0.7109375" style="17" customWidth="1"/>
    <col min="7" max="7" width="5.5703125" style="17" customWidth="1"/>
    <col min="8" max="8" width="1.7109375" style="17" customWidth="1"/>
    <col min="9" max="9" width="7" style="17" customWidth="1"/>
    <col min="10" max="10" width="7.5703125" style="17" bestFit="1" customWidth="1"/>
    <col min="11" max="11" width="10.7109375" style="17" customWidth="1"/>
    <col min="12" max="12" width="39.140625" style="17" bestFit="1" customWidth="1"/>
    <col min="13" max="13" width="7.85546875" style="17" bestFit="1" customWidth="1"/>
    <col min="14" max="14" width="10.5703125" style="17" customWidth="1"/>
    <col min="15" max="15" width="10.7109375" style="17" customWidth="1"/>
    <col min="16" max="16" width="8.85546875" style="17" customWidth="1"/>
    <col min="17" max="17" width="7.42578125" style="17" customWidth="1"/>
    <col min="18" max="18" width="6.42578125" style="17" customWidth="1"/>
    <col min="19" max="19" width="6.28515625" style="17" customWidth="1"/>
    <col min="20" max="20" width="5.85546875" style="17" customWidth="1"/>
    <col min="21" max="21" width="7" style="17" customWidth="1"/>
    <col min="22" max="23" width="3.28515625" style="17" customWidth="1"/>
    <col min="24" max="24" width="3.42578125" style="17" customWidth="1"/>
    <col min="25" max="25" width="4.7109375" style="17" customWidth="1"/>
    <col min="26" max="26" width="3.28515625" style="17" customWidth="1"/>
    <col min="27" max="27" width="5.42578125" style="17" customWidth="1"/>
    <col min="28" max="29" width="11.5703125" style="17" customWidth="1"/>
    <col min="30" max="31" width="10" style="17" customWidth="1"/>
    <col min="32" max="32" width="11.5703125" style="17" customWidth="1"/>
    <col min="33" max="33" width="5" style="17" customWidth="1"/>
    <col min="34" max="34" width="5.85546875" style="17" customWidth="1"/>
    <col min="35" max="35" width="6" style="17" customWidth="1"/>
    <col min="36" max="36" width="5.85546875" style="17" customWidth="1"/>
    <col min="37" max="39" width="11.5703125" style="17" customWidth="1"/>
    <col min="40" max="40" width="21.7109375" style="17" customWidth="1"/>
    <col min="41" max="41" width="27.42578125" style="17" customWidth="1"/>
    <col min="42" max="42" width="14" style="17" customWidth="1"/>
    <col min="43" max="43" width="16" style="17" customWidth="1"/>
    <col min="44" max="44" width="17.85546875" style="17" customWidth="1"/>
    <col min="45" max="45" width="7.7109375" style="17" customWidth="1"/>
    <col min="46" max="46" width="3.140625" style="17" customWidth="1"/>
    <col min="47" max="47" width="8.140625" style="17" customWidth="1"/>
    <col min="48" max="48" width="9.85546875" style="17" customWidth="1"/>
    <col min="49" max="49" width="12" style="17" customWidth="1"/>
    <col min="50" max="50" width="4.140625" style="17" customWidth="1"/>
    <col min="51" max="51" width="3.140625" style="17" customWidth="1"/>
    <col min="52" max="52" width="3.85546875" style="17" customWidth="1"/>
    <col min="53" max="53" width="5.5703125" style="17" customWidth="1"/>
    <col min="54" max="54" width="3.140625" style="17" customWidth="1"/>
    <col min="55" max="55" width="16.140625" style="17" customWidth="1"/>
    <col min="56" max="56" width="4.5703125" style="17" customWidth="1"/>
    <col min="57" max="57" width="4.7109375" style="17" customWidth="1"/>
    <col min="58" max="59" width="4.5703125" style="17" customWidth="1"/>
    <col min="60" max="60" width="8.7109375" style="17" customWidth="1"/>
    <col min="61" max="63" width="3.7109375" style="17" hidden="1" customWidth="1" outlineLevel="1"/>
    <col min="64" max="64" width="4.5703125" style="17" customWidth="1" collapsed="1"/>
    <col min="65" max="69" width="4.5703125" style="17" customWidth="1"/>
    <col min="70" max="71" width="5.7109375" style="17" customWidth="1"/>
    <col min="72" max="72" width="6" style="17" customWidth="1"/>
    <col min="73" max="73" width="30" style="17" customWidth="1"/>
    <col min="74" max="74" width="5.42578125" style="17" hidden="1" customWidth="1" outlineLevel="1"/>
    <col min="75" max="75" width="10" style="17" hidden="1" customWidth="1" outlineLevel="1"/>
    <col min="76" max="80" width="11.42578125" style="17" hidden="1" customWidth="1" outlineLevel="1"/>
    <col min="81" max="81" width="24.42578125" style="17" hidden="1" customWidth="1" outlineLevel="1"/>
    <col min="82" max="82" width="4.42578125" style="17" customWidth="1" collapsed="1"/>
    <col min="83" max="84" width="4.42578125" style="17" customWidth="1"/>
    <col min="85" max="85" width="9" style="17" customWidth="1"/>
    <col min="86" max="86" width="5.85546875" style="17" customWidth="1"/>
    <col min="87" max="87" width="4.42578125" style="17" customWidth="1"/>
    <col min="88" max="88" width="4.28515625" style="17" customWidth="1"/>
    <col min="89" max="89" width="4.5703125" style="17" customWidth="1"/>
    <col min="90" max="95" width="4.140625" style="17" customWidth="1"/>
    <col min="96" max="96" width="3.85546875" style="17" customWidth="1"/>
    <col min="97" max="97" width="6.28515625" style="17" customWidth="1"/>
    <col min="98" max="99" width="11.7109375" style="17" customWidth="1"/>
    <col min="100" max="102" width="9.140625" style="17" customWidth="1"/>
    <col min="103" max="103" width="6.7109375" style="17" customWidth="1"/>
    <col min="104" max="105" width="11.7109375" style="17" customWidth="1"/>
    <col min="106" max="106" width="19.28515625" style="17" customWidth="1"/>
    <col min="107" max="108" width="11.28515625" style="17" customWidth="1"/>
    <col min="109" max="109" width="10.140625" style="17" customWidth="1"/>
    <col min="110" max="110" width="6.85546875" style="17" customWidth="1"/>
    <col min="111" max="113" width="11.7109375" style="17" customWidth="1"/>
    <col min="114" max="114" width="17.7109375" style="17" customWidth="1"/>
    <col min="115" max="115" width="7.28515625" style="17" customWidth="1"/>
    <col min="116" max="119" width="7.42578125" style="17" customWidth="1"/>
    <col min="120" max="120" width="14.7109375" style="17" customWidth="1"/>
    <col min="121" max="121" width="35.28515625" style="17" customWidth="1"/>
    <col min="122" max="123" width="11.7109375" style="17" customWidth="1"/>
    <col min="124" max="124" width="5.42578125" style="17" customWidth="1"/>
    <col min="125" max="133" width="11.7109375" style="17" customWidth="1"/>
    <col min="134" max="134" width="30.7109375" style="17" customWidth="1"/>
    <col min="135" max="136" width="11.7109375" style="17" customWidth="1"/>
    <col min="137" max="137" width="5.7109375" style="17" customWidth="1"/>
    <col min="138" max="139" width="11.7109375" style="17" customWidth="1"/>
    <col min="140" max="140" width="6.28515625" style="17" customWidth="1"/>
    <col min="141" max="142" width="11.7109375" style="17" customWidth="1"/>
    <col min="143" max="143" width="28.5703125" style="17" customWidth="1"/>
    <col min="144" max="144" width="9.140625" style="17" customWidth="1"/>
    <col min="145" max="145" width="13.140625" style="17" customWidth="1"/>
    <col min="146" max="146" width="19.42578125" style="17" customWidth="1"/>
    <col min="147" max="147" width="17.28515625" style="17" customWidth="1"/>
    <col min="148" max="148" width="12.140625" style="17" customWidth="1"/>
    <col min="149" max="149" width="9.42578125" style="17" customWidth="1"/>
    <col min="150" max="150" width="6" style="17" hidden="1" customWidth="1"/>
    <col min="151" max="152" width="10.140625" style="17" hidden="1" customWidth="1"/>
    <col min="153" max="153" width="10" style="17" hidden="1" customWidth="1"/>
    <col min="154" max="154" width="12" style="17" hidden="1" customWidth="1"/>
    <col min="155" max="155" width="15.7109375" style="17" customWidth="1"/>
    <col min="156" max="160" width="15.7109375" style="17" hidden="1" customWidth="1"/>
    <col min="161" max="16384" width="15.7109375" style="17"/>
  </cols>
  <sheetData>
    <row r="1" spans="1:154" s="235" customFormat="1" ht="51.75" customHeight="1" thickBot="1" x14ac:dyDescent="0.4">
      <c r="A1" s="233" t="s">
        <v>449</v>
      </c>
      <c r="B1" s="462" t="s">
        <v>407</v>
      </c>
      <c r="C1" s="234"/>
      <c r="E1" s="251" t="s">
        <v>464</v>
      </c>
      <c r="F1" s="236"/>
      <c r="G1" s="237"/>
      <c r="H1" s="238"/>
      <c r="I1" s="252" t="s">
        <v>463</v>
      </c>
      <c r="J1" s="246"/>
      <c r="K1" s="239"/>
      <c r="L1" s="252"/>
      <c r="M1" s="252"/>
      <c r="N1" s="240"/>
      <c r="O1" s="241"/>
      <c r="Q1" s="522"/>
      <c r="R1" s="522"/>
      <c r="Y1" s="239"/>
      <c r="AG1" s="239"/>
      <c r="AH1" s="239"/>
      <c r="AI1" s="239"/>
      <c r="AJ1" s="239"/>
      <c r="AM1" s="470"/>
      <c r="AN1" s="240"/>
      <c r="AP1" s="239"/>
      <c r="AQ1" s="239"/>
      <c r="AR1" s="239"/>
      <c r="AU1" s="240"/>
      <c r="AV1" s="242"/>
      <c r="AW1" s="242"/>
      <c r="AY1" s="239"/>
      <c r="BC1" s="245"/>
      <c r="BD1" s="239"/>
      <c r="BE1" s="239"/>
      <c r="BF1" s="239"/>
      <c r="BG1" s="239"/>
      <c r="BH1" s="239"/>
      <c r="BI1" s="239"/>
      <c r="BJ1" s="441"/>
      <c r="BK1" s="441"/>
      <c r="BL1" s="239"/>
      <c r="BM1" s="239"/>
      <c r="BN1" s="239"/>
      <c r="BO1" s="239"/>
      <c r="BP1" s="239"/>
      <c r="BQ1" s="239"/>
      <c r="BR1" s="239"/>
      <c r="BS1" s="239"/>
      <c r="BT1" s="239"/>
      <c r="BU1" s="240"/>
      <c r="CC1" s="246"/>
      <c r="CU1" s="247"/>
      <c r="DB1" s="247"/>
      <c r="DJ1" s="247"/>
      <c r="DS1" s="248"/>
      <c r="DV1" s="247"/>
      <c r="EI1" s="247"/>
      <c r="EL1" s="247"/>
      <c r="EM1" s="247"/>
      <c r="EQ1" s="239"/>
      <c r="ER1" s="239"/>
      <c r="ES1" s="239"/>
      <c r="EV1" s="249"/>
      <c r="EW1" s="249"/>
      <c r="EX1" s="250"/>
    </row>
    <row r="2" spans="1:154" s="18" customFormat="1" ht="51.75" customHeight="1" thickBot="1" x14ac:dyDescent="0.25">
      <c r="A2" s="68"/>
      <c r="B2" s="69" t="s">
        <v>398</v>
      </c>
      <c r="C2" s="70"/>
      <c r="D2" s="71"/>
      <c r="E2" s="72"/>
      <c r="F2" s="73"/>
      <c r="G2" s="74"/>
      <c r="H2" s="74"/>
      <c r="I2" s="75"/>
      <c r="J2" s="476"/>
      <c r="K2" s="243"/>
      <c r="L2" s="76"/>
      <c r="M2" s="77"/>
      <c r="N2" s="516"/>
      <c r="O2" s="78"/>
      <c r="P2" s="419" t="s">
        <v>373</v>
      </c>
      <c r="Q2" s="535"/>
      <c r="R2" s="535"/>
      <c r="S2" s="420"/>
      <c r="T2" s="420"/>
      <c r="U2" s="420"/>
      <c r="V2" s="420"/>
      <c r="W2" s="420"/>
      <c r="X2" s="420"/>
      <c r="Y2" s="420"/>
      <c r="Z2" s="420"/>
      <c r="AA2" s="421"/>
      <c r="AB2" s="67"/>
      <c r="AC2" s="67"/>
      <c r="AD2" s="79"/>
      <c r="AE2" s="79"/>
      <c r="AF2" s="79"/>
      <c r="AG2" s="80"/>
      <c r="AH2" s="80"/>
      <c r="AI2" s="80"/>
      <c r="AJ2" s="80"/>
      <c r="AK2" s="79"/>
      <c r="AL2" s="79"/>
      <c r="AM2" s="471"/>
      <c r="AN2" s="79"/>
      <c r="AO2" s="67" t="s">
        <v>285</v>
      </c>
      <c r="AP2" s="80"/>
      <c r="AQ2" s="81"/>
      <c r="AR2" s="81"/>
      <c r="AS2" s="82"/>
      <c r="AT2" s="300"/>
      <c r="AU2" s="83"/>
      <c r="AV2" s="84" t="s">
        <v>0</v>
      </c>
      <c r="AW2" s="84"/>
      <c r="AX2" s="85"/>
      <c r="AY2" s="86"/>
      <c r="AZ2" s="85"/>
      <c r="BA2" s="85"/>
      <c r="BB2" s="85"/>
      <c r="BC2" s="299"/>
      <c r="BD2" s="301"/>
      <c r="BE2" s="87"/>
      <c r="BF2" s="87"/>
      <c r="BG2" s="87"/>
      <c r="BH2" s="88"/>
      <c r="BI2" s="458"/>
      <c r="BJ2" s="458"/>
      <c r="BK2" s="458"/>
      <c r="BL2" s="88"/>
      <c r="BM2" s="87"/>
      <c r="BN2" s="87"/>
      <c r="BO2" s="87"/>
      <c r="BP2" s="87"/>
      <c r="BQ2" s="88" t="s">
        <v>226</v>
      </c>
      <c r="BR2" s="87"/>
      <c r="BS2" s="87"/>
      <c r="BT2" s="87"/>
      <c r="BU2" s="89"/>
      <c r="BV2" s="459"/>
      <c r="BW2" s="459"/>
      <c r="BX2" s="459"/>
      <c r="BY2" s="460"/>
      <c r="BZ2" s="460"/>
      <c r="CA2" s="459"/>
      <c r="CB2" s="459"/>
      <c r="CC2" s="461"/>
      <c r="CD2" s="422"/>
      <c r="CE2" s="422"/>
      <c r="CF2" s="422"/>
      <c r="CG2" s="422"/>
      <c r="CH2" s="423"/>
      <c r="CI2" s="423"/>
      <c r="CJ2" s="424"/>
      <c r="CK2" s="424"/>
      <c r="CL2" s="424"/>
      <c r="CM2" s="424"/>
      <c r="CN2" s="424"/>
      <c r="CO2" s="424"/>
      <c r="CP2" s="424"/>
      <c r="CQ2" s="424"/>
      <c r="CR2" s="425"/>
      <c r="CS2" s="426"/>
      <c r="CT2" s="427"/>
      <c r="CU2" s="428"/>
      <c r="CV2" s="429"/>
      <c r="CW2" s="429"/>
      <c r="CX2" s="429"/>
      <c r="CY2" s="429"/>
      <c r="CZ2" s="429"/>
      <c r="DA2" s="429"/>
      <c r="DB2" s="428"/>
      <c r="DC2" s="430"/>
      <c r="DD2" s="430"/>
      <c r="DE2" s="429"/>
      <c r="DF2" s="431"/>
      <c r="DG2" s="429"/>
      <c r="DH2" s="431" t="s">
        <v>284</v>
      </c>
      <c r="DI2" s="431"/>
      <c r="DJ2" s="428"/>
      <c r="DK2" s="432"/>
      <c r="DL2" s="433"/>
      <c r="DM2" s="433"/>
      <c r="DN2" s="433"/>
      <c r="DO2" s="433"/>
      <c r="DP2" s="432"/>
      <c r="DQ2" s="432"/>
      <c r="DR2" s="433"/>
      <c r="DS2" s="434"/>
      <c r="DT2" s="429"/>
      <c r="DU2" s="429"/>
      <c r="DV2" s="428"/>
      <c r="DW2" s="433"/>
      <c r="DX2" s="433"/>
      <c r="DY2" s="432"/>
      <c r="DZ2" s="435"/>
      <c r="EA2" s="433"/>
      <c r="EB2" s="433"/>
      <c r="EC2" s="433"/>
      <c r="ED2" s="432"/>
      <c r="EE2" s="433"/>
      <c r="EF2" s="433"/>
      <c r="EG2" s="429"/>
      <c r="EH2" s="429"/>
      <c r="EI2" s="428"/>
      <c r="EJ2" s="429"/>
      <c r="EK2" s="429"/>
      <c r="EL2" s="436"/>
      <c r="EM2" s="436"/>
      <c r="EN2" s="437"/>
      <c r="EO2" s="438" t="s">
        <v>356</v>
      </c>
      <c r="EP2" s="438"/>
      <c r="EQ2" s="439"/>
      <c r="ER2" s="439"/>
      <c r="ES2" s="440"/>
      <c r="ET2" s="90"/>
      <c r="EU2" s="90" t="s">
        <v>223</v>
      </c>
      <c r="EV2" s="91"/>
      <c r="EW2" s="92"/>
      <c r="EX2" s="93"/>
    </row>
    <row r="3" spans="1:154" ht="15.75" x14ac:dyDescent="0.25">
      <c r="A3" s="94"/>
      <c r="B3" s="95"/>
      <c r="C3" s="96"/>
      <c r="D3" s="97"/>
      <c r="E3" s="98"/>
      <c r="F3" s="99"/>
      <c r="G3" s="100"/>
      <c r="H3" s="100"/>
      <c r="I3" s="101"/>
      <c r="J3" s="477"/>
      <c r="K3" s="244"/>
      <c r="L3" s="102"/>
      <c r="M3" s="129"/>
      <c r="N3" s="517"/>
      <c r="O3" s="103"/>
      <c r="P3" s="260"/>
      <c r="Q3" s="523"/>
      <c r="R3" s="523"/>
      <c r="S3" s="260"/>
      <c r="T3" s="260"/>
      <c r="U3" s="260"/>
      <c r="V3" s="260"/>
      <c r="W3" s="260"/>
      <c r="X3" s="260"/>
      <c r="Y3" s="261"/>
      <c r="Z3" s="260"/>
      <c r="AA3" s="262"/>
      <c r="AB3" s="104"/>
      <c r="AC3" s="260"/>
      <c r="AD3" s="260"/>
      <c r="AE3" s="260"/>
      <c r="AF3" s="260"/>
      <c r="AG3" s="104"/>
      <c r="AH3" s="104"/>
      <c r="AI3" s="260"/>
      <c r="AJ3" s="105"/>
      <c r="AK3" s="260"/>
      <c r="AL3" s="260"/>
      <c r="AM3" s="472"/>
      <c r="AN3" s="107"/>
      <c r="AO3" s="104"/>
      <c r="AP3" s="261"/>
      <c r="AQ3" s="105"/>
      <c r="AR3" s="105"/>
      <c r="AS3" s="106"/>
      <c r="AT3" s="284"/>
      <c r="AU3" s="108"/>
      <c r="AV3" s="109"/>
      <c r="AW3" s="109"/>
      <c r="AX3" s="260"/>
      <c r="AY3" s="105"/>
      <c r="AZ3" s="260"/>
      <c r="BA3" s="260"/>
      <c r="BB3" s="104"/>
      <c r="BC3" s="288"/>
      <c r="BD3" s="289"/>
      <c r="BE3" s="289" t="s">
        <v>237</v>
      </c>
      <c r="BF3" s="290"/>
      <c r="BG3" s="110"/>
      <c r="BH3" s="111"/>
      <c r="BI3" s="289"/>
      <c r="BJ3" s="442"/>
      <c r="BK3" s="442"/>
      <c r="BL3" s="112" t="s">
        <v>1</v>
      </c>
      <c r="BM3" s="113"/>
      <c r="BN3" s="113"/>
      <c r="BO3" s="114"/>
      <c r="BP3" s="113" t="s">
        <v>2</v>
      </c>
      <c r="BQ3" s="106"/>
      <c r="BR3" s="298" t="s">
        <v>424</v>
      </c>
      <c r="BS3" s="298"/>
      <c r="BT3" s="298"/>
      <c r="BU3" s="115" t="s">
        <v>258</v>
      </c>
      <c r="BV3" s="454"/>
      <c r="BW3" s="395"/>
      <c r="BX3" s="235"/>
      <c r="BY3" s="235"/>
      <c r="BZ3" s="395" t="s">
        <v>225</v>
      </c>
      <c r="CA3" s="395"/>
      <c r="CB3" s="395"/>
      <c r="CC3" s="455"/>
      <c r="CD3" s="302" t="s">
        <v>294</v>
      </c>
      <c r="CE3" s="302"/>
      <c r="CF3" s="302"/>
      <c r="CG3" s="303"/>
      <c r="CH3" s="304" t="s">
        <v>333</v>
      </c>
      <c r="CI3" s="298"/>
      <c r="CJ3" s="298"/>
      <c r="CK3" s="298"/>
      <c r="CL3" s="298"/>
      <c r="CM3" s="298"/>
      <c r="CN3" s="298"/>
      <c r="CO3" s="298"/>
      <c r="CP3" s="298"/>
      <c r="CQ3" s="298"/>
      <c r="CR3" s="305"/>
      <c r="CS3" s="306">
        <v>0</v>
      </c>
      <c r="CT3" s="307" t="s">
        <v>427</v>
      </c>
      <c r="CU3" s="308" t="s">
        <v>8</v>
      </c>
      <c r="CV3" s="246" t="s">
        <v>9</v>
      </c>
      <c r="CW3" s="309"/>
      <c r="CX3" s="307"/>
      <c r="CY3" s="307" t="s">
        <v>5</v>
      </c>
      <c r="CZ3" s="309"/>
      <c r="DA3" s="309"/>
      <c r="DB3" s="308" t="s">
        <v>10</v>
      </c>
      <c r="DC3" s="306" t="s">
        <v>11</v>
      </c>
      <c r="DD3" s="309"/>
      <c r="DE3" s="309"/>
      <c r="DF3" s="307" t="s">
        <v>6</v>
      </c>
      <c r="DG3" s="309"/>
      <c r="DH3" s="309"/>
      <c r="DI3" s="309"/>
      <c r="DJ3" s="345" t="s">
        <v>12</v>
      </c>
      <c r="DK3" s="239" t="s">
        <v>13</v>
      </c>
      <c r="DL3" s="309"/>
      <c r="DM3" s="309"/>
      <c r="DN3" s="309"/>
      <c r="DO3" s="309"/>
      <c r="DP3" s="253"/>
      <c r="DQ3" s="307" t="s">
        <v>7</v>
      </c>
      <c r="DR3" s="346"/>
      <c r="DS3" s="347"/>
      <c r="DT3" s="235"/>
      <c r="DU3" s="235"/>
      <c r="DV3" s="348" t="s">
        <v>14</v>
      </c>
      <c r="DW3" s="379" t="s">
        <v>15</v>
      </c>
      <c r="DX3" s="346"/>
      <c r="DY3" s="380"/>
      <c r="DZ3" s="346"/>
      <c r="EA3" s="346"/>
      <c r="EB3" s="346"/>
      <c r="EC3" s="381"/>
      <c r="ED3" s="382" t="s">
        <v>392</v>
      </c>
      <c r="EE3" s="346"/>
      <c r="EF3" s="346"/>
      <c r="EG3" s="235"/>
      <c r="EH3" s="235"/>
      <c r="EI3" s="316" t="s">
        <v>16</v>
      </c>
      <c r="EJ3" s="383">
        <v>1</v>
      </c>
      <c r="EK3" s="307" t="s">
        <v>435</v>
      </c>
      <c r="EL3" s="316" t="s">
        <v>17</v>
      </c>
      <c r="EM3" s="384"/>
      <c r="EN3" s="405" t="s">
        <v>428</v>
      </c>
      <c r="EO3" s="235"/>
      <c r="EP3" s="309"/>
      <c r="EQ3" s="239"/>
      <c r="ER3" s="239"/>
      <c r="ES3" s="397"/>
      <c r="ET3" s="118" t="s">
        <v>326</v>
      </c>
      <c r="EU3" s="119"/>
      <c r="EV3" s="120">
        <f>$BH$8</f>
        <v>0</v>
      </c>
      <c r="EW3" s="121"/>
      <c r="EX3" s="122"/>
    </row>
    <row r="4" spans="1:154" ht="13.5" customHeight="1" thickBot="1" x14ac:dyDescent="0.3">
      <c r="A4" s="94"/>
      <c r="B4" s="465"/>
      <c r="C4" s="466"/>
      <c r="D4" s="467"/>
      <c r="E4" s="467"/>
      <c r="F4" s="468"/>
      <c r="G4" s="468"/>
      <c r="H4" s="468"/>
      <c r="I4" s="467"/>
      <c r="J4" s="469"/>
      <c r="K4" s="253" t="s">
        <v>222</v>
      </c>
      <c r="L4" s="128"/>
      <c r="M4" s="129">
        <v>4</v>
      </c>
      <c r="N4" s="518"/>
      <c r="O4" s="130"/>
      <c r="P4" s="263"/>
      <c r="Q4" s="524"/>
      <c r="R4" s="525"/>
      <c r="S4" s="264"/>
      <c r="T4" s="264"/>
      <c r="U4" s="264"/>
      <c r="V4" s="265"/>
      <c r="W4" s="265"/>
      <c r="X4" s="265"/>
      <c r="Y4" s="257"/>
      <c r="Z4" s="265"/>
      <c r="AA4" s="266"/>
      <c r="AB4" s="131"/>
      <c r="AC4" s="264"/>
      <c r="AD4" s="264"/>
      <c r="AE4" s="264"/>
      <c r="AF4" s="264"/>
      <c r="AG4" s="36"/>
      <c r="AH4" s="36"/>
      <c r="AI4" s="257"/>
      <c r="AJ4" s="36"/>
      <c r="AK4" s="264"/>
      <c r="AL4" s="264"/>
      <c r="AM4" s="473"/>
      <c r="AN4" s="133"/>
      <c r="AO4" s="132"/>
      <c r="AP4" s="282"/>
      <c r="AQ4" s="134"/>
      <c r="AR4" s="134"/>
      <c r="AS4" s="135"/>
      <c r="AT4" s="285"/>
      <c r="AU4" s="133"/>
      <c r="AV4" s="136"/>
      <c r="AW4" s="136"/>
      <c r="AX4" s="264"/>
      <c r="AY4" s="36"/>
      <c r="AZ4" s="264"/>
      <c r="BA4" s="629" t="s">
        <v>220</v>
      </c>
      <c r="BB4" s="132"/>
      <c r="BC4" s="291"/>
      <c r="BD4" s="632" t="s">
        <v>309</v>
      </c>
      <c r="BE4" s="629" t="s">
        <v>257</v>
      </c>
      <c r="BF4" s="635" t="s">
        <v>229</v>
      </c>
      <c r="BG4" s="137"/>
      <c r="BH4" s="138"/>
      <c r="BI4" s="536">
        <f>ROUNDUP((BJ3+2)/4,0)</f>
        <v>1</v>
      </c>
      <c r="BJ4" s="443">
        <f>SUM(BM4:BQ4)</f>
        <v>0</v>
      </c>
      <c r="BK4" s="444"/>
      <c r="BL4" s="141"/>
      <c r="BM4" s="139">
        <f>MAX(ROUNDUP((BL8+BM8+BO8)/12,0),ROUNDUP((BO8)/2,0))</f>
        <v>0</v>
      </c>
      <c r="BN4" s="36">
        <f>ROUNDUP((BN8)/8,0)</f>
        <v>0</v>
      </c>
      <c r="BO4" s="140"/>
      <c r="BP4" s="141">
        <f>ROUNDUP((BP8)/6,0)</f>
        <v>0</v>
      </c>
      <c r="BQ4" s="140">
        <f>ROUNDUP((BQ8)/8,0)</f>
        <v>0</v>
      </c>
      <c r="BR4" s="287"/>
      <c r="BS4" s="257"/>
      <c r="BT4" s="635" t="s">
        <v>327</v>
      </c>
      <c r="BU4" s="142"/>
      <c r="BV4" s="287"/>
      <c r="BW4" s="257"/>
      <c r="BX4" s="257"/>
      <c r="BY4" s="257"/>
      <c r="BZ4" s="257"/>
      <c r="CA4" s="257"/>
      <c r="CB4" s="257"/>
      <c r="CC4" s="456"/>
      <c r="CD4" s="632" t="s">
        <v>297</v>
      </c>
      <c r="CE4" s="629" t="s">
        <v>298</v>
      </c>
      <c r="CF4" s="629" t="s">
        <v>299</v>
      </c>
      <c r="CG4" s="635" t="s">
        <v>300</v>
      </c>
      <c r="CH4" s="285"/>
      <c r="CI4" s="276"/>
      <c r="CJ4" s="298" t="s">
        <v>331</v>
      </c>
      <c r="CK4" s="298"/>
      <c r="CL4" s="298"/>
      <c r="CM4" s="310"/>
      <c r="CN4" s="298" t="s">
        <v>325</v>
      </c>
      <c r="CO4" s="298"/>
      <c r="CP4" s="298"/>
      <c r="CQ4" s="298"/>
      <c r="CR4" s="305"/>
      <c r="CS4" s="311" t="s">
        <v>415</v>
      </c>
      <c r="CT4" s="312"/>
      <c r="CU4" s="313"/>
      <c r="CV4" s="314" t="s">
        <v>417</v>
      </c>
      <c r="CW4" s="312"/>
      <c r="CX4" s="312"/>
      <c r="CY4" s="312"/>
      <c r="CZ4" s="312"/>
      <c r="DA4" s="315"/>
      <c r="DB4" s="316"/>
      <c r="DC4" s="349" t="s">
        <v>416</v>
      </c>
      <c r="DD4" s="350"/>
      <c r="DE4" s="312"/>
      <c r="DF4" s="312"/>
      <c r="DG4" s="312"/>
      <c r="DH4" s="351"/>
      <c r="DI4" s="315"/>
      <c r="DJ4" s="352"/>
      <c r="DK4" s="353" t="s">
        <v>418</v>
      </c>
      <c r="DL4" s="354"/>
      <c r="DM4" s="354"/>
      <c r="DN4" s="354"/>
      <c r="DO4" s="354"/>
      <c r="DP4" s="354"/>
      <c r="DQ4" s="354"/>
      <c r="DR4" s="355"/>
      <c r="DS4" s="356"/>
      <c r="DT4" s="354"/>
      <c r="DU4" s="354"/>
      <c r="DV4" s="357"/>
      <c r="DW4" s="385" t="s">
        <v>419</v>
      </c>
      <c r="DX4" s="355"/>
      <c r="DY4" s="355"/>
      <c r="DZ4" s="386"/>
      <c r="EA4" s="386"/>
      <c r="EB4" s="387"/>
      <c r="EC4" s="386"/>
      <c r="ED4" s="386"/>
      <c r="EE4" s="355"/>
      <c r="EF4" s="355"/>
      <c r="EG4" s="354"/>
      <c r="EH4" s="354"/>
      <c r="EI4" s="357"/>
      <c r="EJ4" s="388" t="s">
        <v>436</v>
      </c>
      <c r="EK4" s="354"/>
      <c r="EL4" s="389"/>
      <c r="EM4" s="390"/>
      <c r="EN4" s="406" t="s">
        <v>393</v>
      </c>
      <c r="EO4" s="235"/>
      <c r="EP4" s="309"/>
      <c r="EQ4" s="239"/>
      <c r="ER4" s="239"/>
      <c r="ES4" s="397"/>
      <c r="ET4" s="17" t="s">
        <v>3</v>
      </c>
      <c r="EV4" s="143">
        <f>SUBTOTAL(9,EV11:EV17)</f>
        <v>0</v>
      </c>
      <c r="EW4" s="144">
        <f>SUBTOTAL(9,EW11:EW17)</f>
        <v>0</v>
      </c>
      <c r="EX4" s="145">
        <f>SUBTOTAL(9,EX11:EX17)</f>
        <v>0</v>
      </c>
    </row>
    <row r="5" spans="1:154" ht="16.5" thickBot="1" x14ac:dyDescent="0.3">
      <c r="A5" s="94"/>
      <c r="B5" s="146" t="s">
        <v>84</v>
      </c>
      <c r="C5" s="147"/>
      <c r="D5" s="148"/>
      <c r="E5" s="149"/>
      <c r="F5" s="149"/>
      <c r="G5" s="150">
        <f ca="1">TODAY()</f>
        <v>45401</v>
      </c>
      <c r="H5" s="150"/>
      <c r="I5" s="150"/>
      <c r="J5" s="478"/>
      <c r="K5" s="254" t="s">
        <v>87</v>
      </c>
      <c r="L5" s="151">
        <f>MAX((DMAX(B10:EL17,CY10,M4:M5)),(DMAX(B10:EL17,DF10,M4:M5)),(DMAX(B10:EL17,DT10,M4:M5)),(DMAX(B10:EL17,EG10,M4:M5)),(DMAX(B10:EL17,EJ10,M4:M5)),(DMAX(B10:EL17,CS10,M4:M5)))</f>
        <v>0</v>
      </c>
      <c r="M5" s="152" t="s">
        <v>349</v>
      </c>
      <c r="N5" s="519"/>
      <c r="O5" s="153"/>
      <c r="P5" s="267"/>
      <c r="Q5" s="526"/>
      <c r="R5" s="527"/>
      <c r="S5" s="268"/>
      <c r="T5" s="268"/>
      <c r="U5" s="268"/>
      <c r="V5" s="269"/>
      <c r="W5" s="269"/>
      <c r="X5" s="269"/>
      <c r="Y5" s="270"/>
      <c r="Z5" s="269"/>
      <c r="AA5" s="271"/>
      <c r="AB5" s="155"/>
      <c r="AC5" s="268"/>
      <c r="AD5" s="268"/>
      <c r="AE5" s="268"/>
      <c r="AF5" s="268"/>
      <c r="AG5" s="154"/>
      <c r="AH5" s="154"/>
      <c r="AI5" s="270"/>
      <c r="AJ5" s="154"/>
      <c r="AK5" s="268"/>
      <c r="AL5" s="268"/>
      <c r="AM5" s="463"/>
      <c r="AN5" s="157"/>
      <c r="AO5" s="156"/>
      <c r="AP5" s="283"/>
      <c r="AQ5" s="158"/>
      <c r="AR5" s="158"/>
      <c r="AS5" s="159"/>
      <c r="AT5" s="272"/>
      <c r="AU5" s="157"/>
      <c r="AV5" s="160"/>
      <c r="AW5" s="160"/>
      <c r="AX5" s="268"/>
      <c r="AY5" s="154"/>
      <c r="AZ5" s="268"/>
      <c r="BA5" s="630"/>
      <c r="BB5" s="156"/>
      <c r="BC5" s="292"/>
      <c r="BD5" s="633"/>
      <c r="BE5" s="630"/>
      <c r="BF5" s="636"/>
      <c r="BG5" s="162"/>
      <c r="BH5" s="161"/>
      <c r="BI5" s="270"/>
      <c r="BJ5" s="445"/>
      <c r="BK5" s="446"/>
      <c r="BL5" s="165"/>
      <c r="BM5" s="154"/>
      <c r="BN5" s="154"/>
      <c r="BO5" s="164"/>
      <c r="BP5" s="165"/>
      <c r="BQ5" s="164"/>
      <c r="BR5" s="412"/>
      <c r="BS5" s="270"/>
      <c r="BT5" s="636"/>
      <c r="BU5" s="142"/>
      <c r="BV5" s="412"/>
      <c r="BW5" s="270"/>
      <c r="BX5" s="270"/>
      <c r="BY5" s="630" t="s">
        <v>376</v>
      </c>
      <c r="BZ5" s="270"/>
      <c r="CA5" s="270"/>
      <c r="CB5" s="270"/>
      <c r="CC5" s="457"/>
      <c r="CD5" s="633"/>
      <c r="CE5" s="630"/>
      <c r="CF5" s="630"/>
      <c r="CG5" s="636"/>
      <c r="CH5" s="272"/>
      <c r="CI5" s="317"/>
      <c r="CJ5" s="285"/>
      <c r="CK5" s="264"/>
      <c r="CL5" s="264"/>
      <c r="CM5" s="276"/>
      <c r="CN5" s="632" t="s">
        <v>378</v>
      </c>
      <c r="CO5" s="264"/>
      <c r="CP5" s="264"/>
      <c r="CQ5" s="264"/>
      <c r="CR5" s="276"/>
      <c r="CS5" s="318"/>
      <c r="CT5" s="319"/>
      <c r="CU5" s="320"/>
      <c r="CV5" s="319"/>
      <c r="CW5" s="319"/>
      <c r="CX5" s="321"/>
      <c r="CY5" s="322"/>
      <c r="CZ5" s="323"/>
      <c r="DA5" s="324">
        <f>IF(COUNTA(CZ11:CZ17)/COUNTA(I11:I17)&gt;0.99,1,COUNTA(CZ11:CZ17)/COUNTA(I11:I17))</f>
        <v>0</v>
      </c>
      <c r="DB5" s="325" t="s">
        <v>302</v>
      </c>
      <c r="DC5" s="319"/>
      <c r="DD5" s="319"/>
      <c r="DE5" s="358"/>
      <c r="DF5" s="319"/>
      <c r="DG5" s="319"/>
      <c r="DH5" s="359"/>
      <c r="DI5" s="324">
        <f>IF(((COUNTA(DG11:DG17)+COUNTA(DH11:DH17))/2/COUNTA(I11:I17))&gt;0.99,1,((COUNTA(DG11:DG17)+COUNTA(DH11:DH17))/2/COUNTA(I11:I17)))</f>
        <v>0</v>
      </c>
      <c r="DJ5" s="325" t="s">
        <v>302</v>
      </c>
      <c r="DK5" s="309"/>
      <c r="DL5" s="360"/>
      <c r="DM5" s="309"/>
      <c r="DN5" s="309"/>
      <c r="DO5" s="309"/>
      <c r="DP5" s="309"/>
      <c r="DQ5" s="358"/>
      <c r="DR5" s="360"/>
      <c r="DS5" s="361"/>
      <c r="DT5" s="309"/>
      <c r="DU5" s="324">
        <f>IF(COUNTA(DU11:DU17)/COUNTA(I11:I17)&gt;0.99,1,COUNTA(DU11:DU17)/COUNTA(I11:I17))</f>
        <v>0</v>
      </c>
      <c r="DV5" s="325" t="s">
        <v>302</v>
      </c>
      <c r="DW5" s="391"/>
      <c r="DX5" s="319"/>
      <c r="DY5" s="358"/>
      <c r="DZ5" s="392"/>
      <c r="EA5" s="393"/>
      <c r="EB5" s="393"/>
      <c r="EC5" s="392"/>
      <c r="ED5" s="358"/>
      <c r="EE5" s="392"/>
      <c r="EF5" s="358"/>
      <c r="EG5" s="319"/>
      <c r="EH5" s="324">
        <f>IF(COUNTA(EH11:EH17)/COUNTA(I11:I17)&gt;0.99,1,COUNTA(EH11:EH17)/COUNTA(I11:I17))</f>
        <v>0</v>
      </c>
      <c r="EI5" s="325" t="s">
        <v>302</v>
      </c>
      <c r="EJ5" s="319"/>
      <c r="EK5" s="324">
        <f>IF(COUNTA(EK11:EK17)/COUNTA(I11:I17)&gt;0.99,1,COUNTA(EH11:EH17)/COUNTA(I11:I17))</f>
        <v>0</v>
      </c>
      <c r="EL5" s="325" t="s">
        <v>302</v>
      </c>
      <c r="EM5" s="394"/>
      <c r="EN5" s="407"/>
      <c r="EO5" s="408" t="s">
        <v>357</v>
      </c>
      <c r="EP5" s="409" t="s">
        <v>358</v>
      </c>
      <c r="EQ5" s="410"/>
      <c r="ER5" s="410"/>
      <c r="ES5" s="408"/>
      <c r="ET5" s="17" t="s">
        <v>4</v>
      </c>
      <c r="EV5" s="166"/>
      <c r="EW5" s="143">
        <f>+EW4*EV5</f>
        <v>0</v>
      </c>
      <c r="EX5" s="167"/>
    </row>
    <row r="6" spans="1:154" ht="13.5" thickBot="1" x14ac:dyDescent="0.25">
      <c r="A6" s="168"/>
      <c r="B6" s="169"/>
      <c r="C6" s="170"/>
      <c r="D6" s="170"/>
      <c r="E6" s="170" t="s">
        <v>199</v>
      </c>
      <c r="F6" s="170"/>
      <c r="G6" s="170"/>
      <c r="H6" s="170"/>
      <c r="I6" s="171"/>
      <c r="J6" s="172"/>
      <c r="K6" s="255" t="s">
        <v>414</v>
      </c>
      <c r="L6" s="231">
        <v>40295</v>
      </c>
      <c r="M6" s="133"/>
      <c r="N6" s="520"/>
      <c r="O6" s="173"/>
      <c r="P6" s="272"/>
      <c r="Q6" s="528"/>
      <c r="R6" s="529"/>
      <c r="S6" s="268"/>
      <c r="T6" s="268"/>
      <c r="U6" s="268"/>
      <c r="V6" s="269"/>
      <c r="W6" s="269"/>
      <c r="X6" s="269"/>
      <c r="Y6" s="270"/>
      <c r="Z6" s="269"/>
      <c r="AA6" s="271"/>
      <c r="AB6" s="155"/>
      <c r="AC6" s="268"/>
      <c r="AD6" s="268"/>
      <c r="AE6" s="268"/>
      <c r="AF6" s="268"/>
      <c r="AG6" s="154"/>
      <c r="AH6" s="154"/>
      <c r="AI6" s="270"/>
      <c r="AJ6" s="154"/>
      <c r="AK6" s="268"/>
      <c r="AL6" s="268"/>
      <c r="AM6" s="463"/>
      <c r="AN6" s="157"/>
      <c r="AO6" s="156"/>
      <c r="AP6" s="270"/>
      <c r="AQ6" s="158"/>
      <c r="AR6" s="158"/>
      <c r="AS6" s="159"/>
      <c r="AT6" s="272"/>
      <c r="AU6" s="157"/>
      <c r="AV6" s="160"/>
      <c r="AW6" s="160"/>
      <c r="AX6" s="268"/>
      <c r="AY6" s="154"/>
      <c r="AZ6" s="268"/>
      <c r="BA6" s="630"/>
      <c r="BB6" s="156"/>
      <c r="BC6" s="292"/>
      <c r="BD6" s="633"/>
      <c r="BE6" s="630"/>
      <c r="BF6" s="636"/>
      <c r="BG6" s="162"/>
      <c r="BH6" s="161"/>
      <c r="BI6" s="270"/>
      <c r="BJ6" s="445"/>
      <c r="BK6" s="446"/>
      <c r="BL6" s="165"/>
      <c r="BM6" s="154"/>
      <c r="BN6" s="154"/>
      <c r="BO6" s="164"/>
      <c r="BP6" s="165"/>
      <c r="BQ6" s="164"/>
      <c r="BR6" s="412"/>
      <c r="BS6" s="270"/>
      <c r="BT6" s="636"/>
      <c r="BU6" s="142"/>
      <c r="BV6" s="412"/>
      <c r="BW6" s="270"/>
      <c r="BX6" s="270"/>
      <c r="BY6" s="630"/>
      <c r="BZ6" s="270"/>
      <c r="CA6" s="270"/>
      <c r="CB6" s="270"/>
      <c r="CC6" s="457"/>
      <c r="CD6" s="633"/>
      <c r="CE6" s="630"/>
      <c r="CF6" s="630"/>
      <c r="CG6" s="636"/>
      <c r="CH6" s="272"/>
      <c r="CI6" s="317"/>
      <c r="CJ6" s="272"/>
      <c r="CK6" s="268"/>
      <c r="CL6" s="268"/>
      <c r="CM6" s="317"/>
      <c r="CN6" s="633"/>
      <c r="CO6" s="268"/>
      <c r="CP6" s="268"/>
      <c r="CQ6" s="268"/>
      <c r="CR6" s="317"/>
      <c r="CS6" s="326"/>
      <c r="CT6" s="327"/>
      <c r="CU6" s="328"/>
      <c r="CV6" s="326"/>
      <c r="CW6" s="327"/>
      <c r="CX6" s="329"/>
      <c r="CY6" s="327"/>
      <c r="CZ6" s="327"/>
      <c r="DA6" s="327"/>
      <c r="DB6" s="316"/>
      <c r="DC6" s="362"/>
      <c r="DD6" s="362"/>
      <c r="DE6" s="329"/>
      <c r="DF6" s="327"/>
      <c r="DG6" s="327"/>
      <c r="DH6" s="327"/>
      <c r="DI6" s="327"/>
      <c r="DJ6" s="316"/>
      <c r="DK6" s="363"/>
      <c r="DL6" s="360"/>
      <c r="DM6" s="235"/>
      <c r="DN6" s="235"/>
      <c r="DO6" s="235"/>
      <c r="DP6" s="364"/>
      <c r="DQ6" s="365"/>
      <c r="DR6" s="364"/>
      <c r="DS6" s="366"/>
      <c r="DT6" s="364"/>
      <c r="DU6" s="327"/>
      <c r="DV6" s="316"/>
      <c r="DW6" s="363"/>
      <c r="DX6" s="364"/>
      <c r="DY6" s="365"/>
      <c r="DZ6" s="235"/>
      <c r="EA6" s="235"/>
      <c r="EB6" s="395"/>
      <c r="EC6" s="235"/>
      <c r="ED6" s="365"/>
      <c r="EE6" s="235"/>
      <c r="EF6" s="396"/>
      <c r="EG6" s="235"/>
      <c r="EH6" s="327"/>
      <c r="EI6" s="316"/>
      <c r="EJ6" s="327"/>
      <c r="EK6" s="327"/>
      <c r="EL6" s="316"/>
      <c r="EM6" s="397"/>
      <c r="EN6" s="411"/>
      <c r="EO6" s="397"/>
      <c r="EP6" s="412"/>
      <c r="EQ6" s="270"/>
      <c r="ER6" s="270"/>
      <c r="ES6" s="413"/>
      <c r="ET6" s="17" t="s">
        <v>399</v>
      </c>
      <c r="EV6" s="35"/>
      <c r="EW6" s="174"/>
      <c r="EX6" s="175">
        <f>EV4+SUM(EW4:EX5)</f>
        <v>0</v>
      </c>
    </row>
    <row r="7" spans="1:154" ht="111" customHeight="1" x14ac:dyDescent="0.2">
      <c r="A7" s="94"/>
      <c r="B7" s="65"/>
      <c r="C7" s="176" t="s">
        <v>198</v>
      </c>
      <c r="D7" s="177"/>
      <c r="E7" s="176" t="s">
        <v>18</v>
      </c>
      <c r="F7" s="178"/>
      <c r="G7" s="179" t="s">
        <v>19</v>
      </c>
      <c r="H7" s="180"/>
      <c r="I7" s="181" t="s">
        <v>80</v>
      </c>
      <c r="J7" s="182" t="s">
        <v>408</v>
      </c>
      <c r="K7" s="256" t="s">
        <v>227</v>
      </c>
      <c r="L7" s="154" t="s">
        <v>20</v>
      </c>
      <c r="M7" s="160" t="s">
        <v>340</v>
      </c>
      <c r="N7" s="256" t="s">
        <v>420</v>
      </c>
      <c r="O7" s="183" t="s">
        <v>224</v>
      </c>
      <c r="P7" s="273" t="s">
        <v>372</v>
      </c>
      <c r="Q7" s="530" t="s">
        <v>421</v>
      </c>
      <c r="R7" s="531" t="s">
        <v>422</v>
      </c>
      <c r="S7" s="274" t="s">
        <v>22</v>
      </c>
      <c r="T7" s="274" t="s">
        <v>23</v>
      </c>
      <c r="U7" s="274" t="s">
        <v>21</v>
      </c>
      <c r="V7" s="274" t="s">
        <v>24</v>
      </c>
      <c r="W7" s="274" t="s">
        <v>25</v>
      </c>
      <c r="X7" s="274" t="s">
        <v>26</v>
      </c>
      <c r="Y7" s="274" t="s">
        <v>82</v>
      </c>
      <c r="Z7" s="274" t="s">
        <v>27</v>
      </c>
      <c r="AA7" s="275" t="s">
        <v>28</v>
      </c>
      <c r="AB7" s="184" t="s">
        <v>30</v>
      </c>
      <c r="AC7" s="256" t="s">
        <v>238</v>
      </c>
      <c r="AD7" s="256" t="s">
        <v>255</v>
      </c>
      <c r="AE7" s="256" t="s">
        <v>256</v>
      </c>
      <c r="AF7" s="256" t="s">
        <v>218</v>
      </c>
      <c r="AG7" s="161" t="s">
        <v>41</v>
      </c>
      <c r="AH7" s="161" t="s">
        <v>23</v>
      </c>
      <c r="AI7" s="274" t="s">
        <v>334</v>
      </c>
      <c r="AJ7" s="161" t="s">
        <v>375</v>
      </c>
      <c r="AK7" s="256" t="s">
        <v>215</v>
      </c>
      <c r="AL7" s="256" t="s">
        <v>214</v>
      </c>
      <c r="AM7" s="464" t="s">
        <v>328</v>
      </c>
      <c r="AN7" s="160" t="s">
        <v>31</v>
      </c>
      <c r="AO7" s="160" t="s">
        <v>216</v>
      </c>
      <c r="AP7" s="256" t="s">
        <v>217</v>
      </c>
      <c r="AQ7" s="160" t="s">
        <v>32</v>
      </c>
      <c r="AR7" s="160" t="s">
        <v>337</v>
      </c>
      <c r="AS7" s="163" t="s">
        <v>29</v>
      </c>
      <c r="AT7" s="286" t="s">
        <v>33</v>
      </c>
      <c r="AU7" s="182" t="s">
        <v>34</v>
      </c>
      <c r="AV7" s="182" t="s">
        <v>35</v>
      </c>
      <c r="AW7" s="182" t="s">
        <v>36</v>
      </c>
      <c r="AX7" s="274" t="s">
        <v>219</v>
      </c>
      <c r="AY7" s="161" t="s">
        <v>37</v>
      </c>
      <c r="AZ7" s="274" t="s">
        <v>38</v>
      </c>
      <c r="BA7" s="631"/>
      <c r="BB7" s="161" t="s">
        <v>39</v>
      </c>
      <c r="BC7" s="293" t="s">
        <v>40</v>
      </c>
      <c r="BD7" s="634"/>
      <c r="BE7" s="631"/>
      <c r="BF7" s="636"/>
      <c r="BG7" s="162" t="s">
        <v>310</v>
      </c>
      <c r="BH7" s="161" t="s">
        <v>311</v>
      </c>
      <c r="BI7" s="274" t="s">
        <v>423</v>
      </c>
      <c r="BJ7" s="447" t="s">
        <v>206</v>
      </c>
      <c r="BK7" s="448" t="s">
        <v>207</v>
      </c>
      <c r="BL7" s="162" t="s">
        <v>409</v>
      </c>
      <c r="BM7" s="161" t="s">
        <v>410</v>
      </c>
      <c r="BN7" s="161" t="s">
        <v>411</v>
      </c>
      <c r="BO7" s="163" t="s">
        <v>46</v>
      </c>
      <c r="BP7" s="162" t="s">
        <v>412</v>
      </c>
      <c r="BQ7" s="163" t="s">
        <v>413</v>
      </c>
      <c r="BR7" s="286" t="s">
        <v>425</v>
      </c>
      <c r="BS7" s="274" t="s">
        <v>426</v>
      </c>
      <c r="BT7" s="637"/>
      <c r="BU7" s="142"/>
      <c r="BV7" s="286" t="s">
        <v>53</v>
      </c>
      <c r="BW7" s="274" t="s">
        <v>54</v>
      </c>
      <c r="BX7" s="274" t="s">
        <v>400</v>
      </c>
      <c r="BY7" s="631"/>
      <c r="BZ7" s="274" t="s">
        <v>401</v>
      </c>
      <c r="CA7" s="274" t="s">
        <v>83</v>
      </c>
      <c r="CB7" s="274" t="s">
        <v>55</v>
      </c>
      <c r="CC7" s="413" t="s">
        <v>56</v>
      </c>
      <c r="CD7" s="634"/>
      <c r="CE7" s="631"/>
      <c r="CF7" s="631"/>
      <c r="CG7" s="637"/>
      <c r="CH7" s="286" t="s">
        <v>324</v>
      </c>
      <c r="CI7" s="275" t="s">
        <v>332</v>
      </c>
      <c r="CJ7" s="286" t="s">
        <v>42</v>
      </c>
      <c r="CK7" s="274" t="s">
        <v>43</v>
      </c>
      <c r="CL7" s="274" t="s">
        <v>44</v>
      </c>
      <c r="CM7" s="275" t="s">
        <v>45</v>
      </c>
      <c r="CN7" s="634"/>
      <c r="CO7" s="274" t="s">
        <v>335</v>
      </c>
      <c r="CP7" s="274" t="s">
        <v>341</v>
      </c>
      <c r="CQ7" s="274" t="s">
        <v>336</v>
      </c>
      <c r="CR7" s="275" t="s">
        <v>342</v>
      </c>
      <c r="CS7" s="330"/>
      <c r="CT7" s="331"/>
      <c r="CU7" s="332"/>
      <c r="CV7" s="333"/>
      <c r="CW7" s="334" t="s">
        <v>280</v>
      </c>
      <c r="CX7" s="335"/>
      <c r="CY7" s="336"/>
      <c r="CZ7" s="336"/>
      <c r="DA7" s="336"/>
      <c r="DB7" s="337"/>
      <c r="DC7" s="336"/>
      <c r="DD7" s="367" t="s">
        <v>282</v>
      </c>
      <c r="DE7" s="368"/>
      <c r="DF7" s="331"/>
      <c r="DG7" s="331"/>
      <c r="DH7" s="331"/>
      <c r="DI7" s="331"/>
      <c r="DJ7" s="332"/>
      <c r="DK7" s="369"/>
      <c r="DL7" s="370"/>
      <c r="DM7" s="370"/>
      <c r="DN7" s="370"/>
      <c r="DO7" s="370"/>
      <c r="DP7" s="334" t="s">
        <v>268</v>
      </c>
      <c r="DQ7" s="371"/>
      <c r="DR7" s="372" t="s">
        <v>283</v>
      </c>
      <c r="DS7" s="373"/>
      <c r="DT7" s="374"/>
      <c r="DU7" s="374"/>
      <c r="DV7" s="375"/>
      <c r="DW7" s="369"/>
      <c r="DX7" s="334" t="s">
        <v>277</v>
      </c>
      <c r="DY7" s="398"/>
      <c r="DZ7" s="399"/>
      <c r="EA7" s="370"/>
      <c r="EB7" s="400" t="s">
        <v>278</v>
      </c>
      <c r="EC7" s="370"/>
      <c r="ED7" s="371"/>
      <c r="EE7" s="401" t="s">
        <v>279</v>
      </c>
      <c r="EF7" s="402"/>
      <c r="EG7" s="374"/>
      <c r="EH7" s="374"/>
      <c r="EI7" s="375"/>
      <c r="EJ7" s="330"/>
      <c r="EK7" s="331"/>
      <c r="EL7" s="332"/>
      <c r="EM7" s="403" t="s">
        <v>312</v>
      </c>
      <c r="EN7" s="414"/>
      <c r="EO7" s="415" t="s">
        <v>359</v>
      </c>
      <c r="EP7" s="416" t="s">
        <v>360</v>
      </c>
      <c r="EQ7" s="256" t="s">
        <v>361</v>
      </c>
      <c r="ER7" s="256" t="s">
        <v>362</v>
      </c>
      <c r="ES7" s="293" t="s">
        <v>363</v>
      </c>
      <c r="ET7" s="19" t="s">
        <v>259</v>
      </c>
      <c r="EU7" s="19" t="s">
        <v>329</v>
      </c>
      <c r="EV7" s="185" t="s">
        <v>330</v>
      </c>
      <c r="EW7" s="185" t="s">
        <v>47</v>
      </c>
      <c r="EX7" s="186" t="s">
        <v>48</v>
      </c>
    </row>
    <row r="8" spans="1:154" ht="12.75" x14ac:dyDescent="0.2">
      <c r="A8" s="187"/>
      <c r="B8" s="496"/>
      <c r="C8" s="497"/>
      <c r="D8" s="498"/>
      <c r="E8" s="497"/>
      <c r="F8" s="499"/>
      <c r="G8" s="500"/>
      <c r="H8" s="501"/>
      <c r="I8" s="502"/>
      <c r="J8" s="503"/>
      <c r="K8" s="480"/>
      <c r="L8" s="504"/>
      <c r="M8" s="505"/>
      <c r="N8" s="541"/>
      <c r="O8" s="506"/>
      <c r="P8" s="481"/>
      <c r="Q8" s="542"/>
      <c r="R8" s="543"/>
      <c r="S8" s="480"/>
      <c r="T8" s="480"/>
      <c r="U8" s="480"/>
      <c r="V8" s="480"/>
      <c r="W8" s="480"/>
      <c r="X8" s="482"/>
      <c r="Y8" s="480"/>
      <c r="Z8" s="480"/>
      <c r="AA8" s="483"/>
      <c r="AB8" s="507"/>
      <c r="AC8" s="480"/>
      <c r="AD8" s="480"/>
      <c r="AE8" s="480"/>
      <c r="AF8" s="480"/>
      <c r="AG8" s="508"/>
      <c r="AH8" s="508"/>
      <c r="AI8" s="480"/>
      <c r="AJ8" s="508"/>
      <c r="AK8" s="480"/>
      <c r="AL8" s="480"/>
      <c r="AM8" s="509"/>
      <c r="AN8" s="510"/>
      <c r="AO8" s="508"/>
      <c r="AP8" s="480"/>
      <c r="AQ8" s="508"/>
      <c r="AR8" s="508"/>
      <c r="AS8" s="511">
        <f>ET9</f>
        <v>0</v>
      </c>
      <c r="AT8" s="481"/>
      <c r="AU8" s="510"/>
      <c r="AV8" s="510">
        <f>SUBTOTAL(9,AV11:AV17)</f>
        <v>0</v>
      </c>
      <c r="AW8" s="510">
        <f>SUBTOTAL(9,AW11:AW17)</f>
        <v>0</v>
      </c>
      <c r="AX8" s="480"/>
      <c r="AY8" s="508"/>
      <c r="AZ8" s="480"/>
      <c r="BA8" s="480"/>
      <c r="BB8" s="504"/>
      <c r="BC8" s="484"/>
      <c r="BD8" s="481"/>
      <c r="BE8" s="480"/>
      <c r="BF8" s="485"/>
      <c r="BG8" s="507"/>
      <c r="BH8" s="512">
        <f>SUM(BL8:BQ8)</f>
        <v>0</v>
      </c>
      <c r="BI8" s="538"/>
      <c r="BJ8" s="486"/>
      <c r="BK8" s="487"/>
      <c r="BL8" s="513">
        <f t="shared" ref="BL8:BQ8" si="0">SUBTOTAL(9,BL11:BL17)</f>
        <v>0</v>
      </c>
      <c r="BM8" s="512">
        <f t="shared" si="0"/>
        <v>0</v>
      </c>
      <c r="BN8" s="512">
        <f t="shared" si="0"/>
        <v>0</v>
      </c>
      <c r="BO8" s="514">
        <f t="shared" si="0"/>
        <v>0</v>
      </c>
      <c r="BP8" s="513">
        <f t="shared" si="0"/>
        <v>0</v>
      </c>
      <c r="BQ8" s="514">
        <f t="shared" si="0"/>
        <v>0</v>
      </c>
      <c r="BR8" s="539"/>
      <c r="BS8" s="544"/>
      <c r="BT8" s="485"/>
      <c r="BU8" s="515"/>
      <c r="BV8" s="488"/>
      <c r="BW8" s="482"/>
      <c r="BX8" s="482"/>
      <c r="BY8" s="482"/>
      <c r="BZ8" s="482"/>
      <c r="CA8" s="482"/>
      <c r="CB8" s="482"/>
      <c r="CC8" s="485"/>
      <c r="CD8" s="488"/>
      <c r="CE8" s="482"/>
      <c r="CF8" s="482"/>
      <c r="CG8" s="483"/>
      <c r="CH8" s="489" t="s">
        <v>239</v>
      </c>
      <c r="CI8" s="490"/>
      <c r="CJ8" s="481"/>
      <c r="CK8" s="482"/>
      <c r="CL8" s="482"/>
      <c r="CM8" s="483"/>
      <c r="CN8" s="488"/>
      <c r="CO8" s="482"/>
      <c r="CP8" s="482"/>
      <c r="CQ8" s="482"/>
      <c r="CR8" s="483"/>
      <c r="CS8" s="481" t="s">
        <v>74</v>
      </c>
      <c r="CT8" s="480" t="s">
        <v>209</v>
      </c>
      <c r="CU8" s="491" t="s">
        <v>76</v>
      </c>
      <c r="CV8" s="481" t="s">
        <v>211</v>
      </c>
      <c r="CW8" s="480" t="s">
        <v>211</v>
      </c>
      <c r="CX8" s="485" t="s">
        <v>211</v>
      </c>
      <c r="CY8" s="481" t="s">
        <v>77</v>
      </c>
      <c r="CZ8" s="480" t="s">
        <v>232</v>
      </c>
      <c r="DA8" s="492" t="s">
        <v>231</v>
      </c>
      <c r="DB8" s="491" t="s">
        <v>86</v>
      </c>
      <c r="DC8" s="481" t="s">
        <v>237</v>
      </c>
      <c r="DD8" s="480" t="s">
        <v>235</v>
      </c>
      <c r="DE8" s="485" t="s">
        <v>236</v>
      </c>
      <c r="DF8" s="481" t="s">
        <v>78</v>
      </c>
      <c r="DG8" s="480" t="s">
        <v>281</v>
      </c>
      <c r="DH8" s="480" t="s">
        <v>240</v>
      </c>
      <c r="DI8" s="492" t="s">
        <v>231</v>
      </c>
      <c r="DJ8" s="491" t="s">
        <v>344</v>
      </c>
      <c r="DK8" s="481" t="s">
        <v>261</v>
      </c>
      <c r="DL8" s="480" t="s">
        <v>266</v>
      </c>
      <c r="DM8" s="480" t="s">
        <v>262</v>
      </c>
      <c r="DN8" s="480" t="s">
        <v>264</v>
      </c>
      <c r="DO8" s="480" t="s">
        <v>264</v>
      </c>
      <c r="DP8" s="480" t="s">
        <v>232</v>
      </c>
      <c r="DQ8" s="485" t="s">
        <v>86</v>
      </c>
      <c r="DR8" s="481" t="s">
        <v>271</v>
      </c>
      <c r="DS8" s="493" t="s">
        <v>49</v>
      </c>
      <c r="DT8" s="481" t="s">
        <v>71</v>
      </c>
      <c r="DU8" s="480" t="s">
        <v>232</v>
      </c>
      <c r="DV8" s="491" t="s">
        <v>231</v>
      </c>
      <c r="DW8" s="481" t="s">
        <v>269</v>
      </c>
      <c r="DX8" s="480" t="s">
        <v>51</v>
      </c>
      <c r="DY8" s="485" t="s">
        <v>52</v>
      </c>
      <c r="DZ8" s="481" t="s">
        <v>273</v>
      </c>
      <c r="EA8" s="480" t="s">
        <v>275</v>
      </c>
      <c r="EB8" s="480" t="s">
        <v>274</v>
      </c>
      <c r="EC8" s="480" t="s">
        <v>205</v>
      </c>
      <c r="ED8" s="485" t="s">
        <v>86</v>
      </c>
      <c r="EE8" s="481" t="s">
        <v>50</v>
      </c>
      <c r="EF8" s="485" t="s">
        <v>49</v>
      </c>
      <c r="EG8" s="481" t="s">
        <v>85</v>
      </c>
      <c r="EH8" s="480" t="s">
        <v>232</v>
      </c>
      <c r="EI8" s="491" t="s">
        <v>231</v>
      </c>
      <c r="EJ8" s="481" t="s">
        <v>79</v>
      </c>
      <c r="EK8" s="480" t="s">
        <v>232</v>
      </c>
      <c r="EL8" s="491" t="s">
        <v>231</v>
      </c>
      <c r="EM8" s="485"/>
      <c r="EN8" s="494" t="s">
        <v>394</v>
      </c>
      <c r="EO8" s="495"/>
      <c r="EP8" s="481"/>
      <c r="EQ8" s="480"/>
      <c r="ER8" s="480"/>
      <c r="ES8" s="485"/>
      <c r="ET8" s="188" t="s">
        <v>370</v>
      </c>
      <c r="EU8" s="132"/>
      <c r="EV8" s="189"/>
      <c r="EW8" s="189"/>
      <c r="EX8" s="190"/>
    </row>
    <row r="9" spans="1:154" ht="12.75" x14ac:dyDescent="0.2">
      <c r="A9" s="191"/>
      <c r="B9" s="192"/>
      <c r="C9" s="193"/>
      <c r="D9" s="194"/>
      <c r="E9" s="193"/>
      <c r="F9" s="195"/>
      <c r="G9" s="196"/>
      <c r="H9" s="197"/>
      <c r="I9" s="198"/>
      <c r="J9" s="479"/>
      <c r="K9" s="258"/>
      <c r="L9" s="200"/>
      <c r="M9" s="201"/>
      <c r="N9" s="521"/>
      <c r="O9" s="202"/>
      <c r="P9" s="277" t="s">
        <v>57</v>
      </c>
      <c r="Q9" s="532"/>
      <c r="R9" s="533"/>
      <c r="S9" s="258" t="s">
        <v>59</v>
      </c>
      <c r="T9" s="258" t="s">
        <v>60</v>
      </c>
      <c r="U9" s="258" t="s">
        <v>58</v>
      </c>
      <c r="V9" s="258" t="s">
        <v>61</v>
      </c>
      <c r="W9" s="258" t="s">
        <v>61</v>
      </c>
      <c r="X9" s="278"/>
      <c r="Y9" s="258" t="s">
        <v>67</v>
      </c>
      <c r="Z9" s="258" t="s">
        <v>62</v>
      </c>
      <c r="AA9" s="279"/>
      <c r="AB9" s="203"/>
      <c r="AC9" s="258"/>
      <c r="AD9" s="258"/>
      <c r="AE9" s="258"/>
      <c r="AF9" s="258"/>
      <c r="AG9" s="199"/>
      <c r="AH9" s="199" t="s">
        <v>60</v>
      </c>
      <c r="AI9" s="258" t="s">
        <v>66</v>
      </c>
      <c r="AJ9" s="199" t="s">
        <v>374</v>
      </c>
      <c r="AK9" s="258"/>
      <c r="AL9" s="258"/>
      <c r="AM9" s="474"/>
      <c r="AN9" s="204"/>
      <c r="AO9" s="199"/>
      <c r="AP9" s="258"/>
      <c r="AQ9" s="199"/>
      <c r="AR9" s="199"/>
      <c r="AS9" s="205" t="s">
        <v>397</v>
      </c>
      <c r="AT9" s="277" t="s">
        <v>63</v>
      </c>
      <c r="AU9" s="204" t="s">
        <v>81</v>
      </c>
      <c r="AV9" s="204" t="s">
        <v>57</v>
      </c>
      <c r="AW9" s="204" t="s">
        <v>64</v>
      </c>
      <c r="AX9" s="258" t="s">
        <v>63</v>
      </c>
      <c r="AY9" s="199"/>
      <c r="AZ9" s="258" t="s">
        <v>65</v>
      </c>
      <c r="BA9" s="258" t="s">
        <v>221</v>
      </c>
      <c r="BB9" s="200"/>
      <c r="BC9" s="294"/>
      <c r="BD9" s="277" t="s">
        <v>68</v>
      </c>
      <c r="BE9" s="258" t="s">
        <v>228</v>
      </c>
      <c r="BF9" s="295" t="s">
        <v>230</v>
      </c>
      <c r="BG9" s="203"/>
      <c r="BH9" s="206" t="s">
        <v>371</v>
      </c>
      <c r="BI9" s="537"/>
      <c r="BJ9" s="449"/>
      <c r="BK9" s="450"/>
      <c r="BL9" s="208" t="s">
        <v>69</v>
      </c>
      <c r="BM9" s="206" t="s">
        <v>69</v>
      </c>
      <c r="BN9" s="206" t="s">
        <v>70</v>
      </c>
      <c r="BO9" s="207" t="s">
        <v>71</v>
      </c>
      <c r="BP9" s="208" t="s">
        <v>72</v>
      </c>
      <c r="BQ9" s="207" t="s">
        <v>73</v>
      </c>
      <c r="BR9" s="277"/>
      <c r="BS9" s="258"/>
      <c r="BT9" s="295"/>
      <c r="BU9" s="209"/>
      <c r="BV9" s="338"/>
      <c r="BW9" s="278"/>
      <c r="BX9" s="278"/>
      <c r="BY9" s="278"/>
      <c r="BZ9" s="278"/>
      <c r="CA9" s="278"/>
      <c r="CB9" s="278"/>
      <c r="CC9" s="295"/>
      <c r="CD9" s="338"/>
      <c r="CE9" s="278"/>
      <c r="CF9" s="278" t="s">
        <v>303</v>
      </c>
      <c r="CG9" s="279"/>
      <c r="CH9" s="339" t="s">
        <v>377</v>
      </c>
      <c r="CI9" s="340"/>
      <c r="CJ9" s="277"/>
      <c r="CK9" s="278"/>
      <c r="CL9" s="278"/>
      <c r="CM9" s="279"/>
      <c r="CN9" s="338"/>
      <c r="CO9" s="278"/>
      <c r="CP9" s="278"/>
      <c r="CQ9" s="278"/>
      <c r="CR9" s="279"/>
      <c r="CS9" s="277" t="s">
        <v>75</v>
      </c>
      <c r="CT9" s="258" t="s">
        <v>208</v>
      </c>
      <c r="CU9" s="341" t="s">
        <v>210</v>
      </c>
      <c r="CV9" s="277" t="s">
        <v>233</v>
      </c>
      <c r="CW9" s="258" t="s">
        <v>212</v>
      </c>
      <c r="CX9" s="295" t="s">
        <v>267</v>
      </c>
      <c r="CY9" s="277" t="s">
        <v>75</v>
      </c>
      <c r="CZ9" s="258" t="s">
        <v>208</v>
      </c>
      <c r="DA9" s="342" t="s">
        <v>210</v>
      </c>
      <c r="DB9" s="341" t="s">
        <v>343</v>
      </c>
      <c r="DC9" s="277" t="s">
        <v>234</v>
      </c>
      <c r="DD9" s="258" t="s">
        <v>234</v>
      </c>
      <c r="DE9" s="295" t="s">
        <v>213</v>
      </c>
      <c r="DF9" s="277" t="s">
        <v>75</v>
      </c>
      <c r="DG9" s="258" t="s">
        <v>208</v>
      </c>
      <c r="DH9" s="258" t="s">
        <v>208</v>
      </c>
      <c r="DI9" s="342" t="s">
        <v>210</v>
      </c>
      <c r="DJ9" s="341" t="s">
        <v>343</v>
      </c>
      <c r="DK9" s="277" t="s">
        <v>260</v>
      </c>
      <c r="DL9" s="258"/>
      <c r="DM9" s="258"/>
      <c r="DN9" s="258" t="s">
        <v>263</v>
      </c>
      <c r="DO9" s="258" t="s">
        <v>265</v>
      </c>
      <c r="DP9" s="258" t="s">
        <v>208</v>
      </c>
      <c r="DQ9" s="295"/>
      <c r="DR9" s="277" t="s">
        <v>272</v>
      </c>
      <c r="DS9" s="295" t="s">
        <v>272</v>
      </c>
      <c r="DT9" s="277" t="s">
        <v>75</v>
      </c>
      <c r="DU9" s="258" t="s">
        <v>208</v>
      </c>
      <c r="DV9" s="341" t="s">
        <v>210</v>
      </c>
      <c r="DW9" s="277" t="s">
        <v>270</v>
      </c>
      <c r="DX9" s="258"/>
      <c r="DY9" s="295"/>
      <c r="DZ9" s="277" t="s">
        <v>210</v>
      </c>
      <c r="EA9" s="258" t="s">
        <v>276</v>
      </c>
      <c r="EB9" s="258" t="s">
        <v>210</v>
      </c>
      <c r="EC9" s="258" t="s">
        <v>210</v>
      </c>
      <c r="ED9" s="295"/>
      <c r="EE9" s="277" t="s">
        <v>210</v>
      </c>
      <c r="EF9" s="295" t="s">
        <v>210</v>
      </c>
      <c r="EG9" s="277" t="s">
        <v>75</v>
      </c>
      <c r="EH9" s="258" t="s">
        <v>208</v>
      </c>
      <c r="EI9" s="341" t="s">
        <v>210</v>
      </c>
      <c r="EJ9" s="277" t="s">
        <v>75</v>
      </c>
      <c r="EK9" s="258" t="s">
        <v>208</v>
      </c>
      <c r="EL9" s="341" t="s">
        <v>210</v>
      </c>
      <c r="EM9" s="295"/>
      <c r="EN9" s="417" t="s">
        <v>395</v>
      </c>
      <c r="EO9" s="290"/>
      <c r="EP9" s="277"/>
      <c r="EQ9" s="258"/>
      <c r="ER9" s="258"/>
      <c r="ES9" s="295"/>
      <c r="ET9" s="210">
        <f>SUBTOTAL(9,ET11:ET17)</f>
        <v>0</v>
      </c>
      <c r="EU9" s="200"/>
      <c r="EV9" s="211"/>
      <c r="EW9" s="211"/>
      <c r="EX9" s="212"/>
    </row>
    <row r="10" spans="1:154" ht="13.5" thickBot="1" x14ac:dyDescent="0.25">
      <c r="A10" s="213">
        <v>0</v>
      </c>
      <c r="B10" s="214" t="s">
        <v>289</v>
      </c>
      <c r="C10" s="215">
        <v>1</v>
      </c>
      <c r="D10" s="216" t="s">
        <v>288</v>
      </c>
      <c r="E10" s="215">
        <v>2</v>
      </c>
      <c r="F10" s="216" t="s">
        <v>287</v>
      </c>
      <c r="G10" s="217">
        <v>3</v>
      </c>
      <c r="H10" s="218" t="s">
        <v>286</v>
      </c>
      <c r="I10" s="219">
        <v>4</v>
      </c>
      <c r="J10" s="220">
        <v>5</v>
      </c>
      <c r="K10" s="259" t="s">
        <v>89</v>
      </c>
      <c r="L10" s="221" t="s">
        <v>90</v>
      </c>
      <c r="M10" s="222" t="s">
        <v>91</v>
      </c>
      <c r="N10" s="259" t="s">
        <v>92</v>
      </c>
      <c r="O10" s="223" t="s">
        <v>93</v>
      </c>
      <c r="P10" s="280" t="s">
        <v>94</v>
      </c>
      <c r="Q10" s="451" t="s">
        <v>95</v>
      </c>
      <c r="R10" s="451" t="s">
        <v>96</v>
      </c>
      <c r="S10" s="259" t="s">
        <v>97</v>
      </c>
      <c r="T10" s="259" t="s">
        <v>98</v>
      </c>
      <c r="U10" s="259" t="s">
        <v>99</v>
      </c>
      <c r="V10" s="259" t="s">
        <v>100</v>
      </c>
      <c r="W10" s="259" t="s">
        <v>101</v>
      </c>
      <c r="X10" s="259" t="s">
        <v>102</v>
      </c>
      <c r="Y10" s="259" t="s">
        <v>103</v>
      </c>
      <c r="Z10" s="259" t="s">
        <v>104</v>
      </c>
      <c r="AA10" s="281" t="s">
        <v>105</v>
      </c>
      <c r="AB10" s="224" t="s">
        <v>106</v>
      </c>
      <c r="AC10" s="259" t="s">
        <v>107</v>
      </c>
      <c r="AD10" s="259" t="s">
        <v>108</v>
      </c>
      <c r="AE10" s="259" t="s">
        <v>109</v>
      </c>
      <c r="AF10" s="259" t="s">
        <v>110</v>
      </c>
      <c r="AG10" s="221" t="s">
        <v>111</v>
      </c>
      <c r="AH10" s="221" t="s">
        <v>112</v>
      </c>
      <c r="AI10" s="259" t="s">
        <v>113</v>
      </c>
      <c r="AJ10" s="221" t="s">
        <v>114</v>
      </c>
      <c r="AK10" s="259" t="s">
        <v>115</v>
      </c>
      <c r="AL10" s="259" t="s">
        <v>116</v>
      </c>
      <c r="AM10" s="475" t="s">
        <v>117</v>
      </c>
      <c r="AN10" s="222" t="s">
        <v>118</v>
      </c>
      <c r="AO10" s="221" t="s">
        <v>119</v>
      </c>
      <c r="AP10" s="259" t="s">
        <v>120</v>
      </c>
      <c r="AQ10" s="221" t="s">
        <v>121</v>
      </c>
      <c r="AR10" s="221" t="s">
        <v>122</v>
      </c>
      <c r="AS10" s="223" t="s">
        <v>123</v>
      </c>
      <c r="AT10" s="280" t="s">
        <v>124</v>
      </c>
      <c r="AU10" s="221" t="s">
        <v>125</v>
      </c>
      <c r="AV10" s="221" t="s">
        <v>126</v>
      </c>
      <c r="AW10" s="221" t="s">
        <v>127</v>
      </c>
      <c r="AX10" s="259" t="s">
        <v>128</v>
      </c>
      <c r="AY10" s="221" t="s">
        <v>129</v>
      </c>
      <c r="AZ10" s="259" t="s">
        <v>130</v>
      </c>
      <c r="BA10" s="259" t="s">
        <v>131</v>
      </c>
      <c r="BB10" s="221" t="s">
        <v>132</v>
      </c>
      <c r="BC10" s="296" t="s">
        <v>133</v>
      </c>
      <c r="BD10" s="280" t="s">
        <v>134</v>
      </c>
      <c r="BE10" s="259" t="s">
        <v>135</v>
      </c>
      <c r="BF10" s="281" t="s">
        <v>136</v>
      </c>
      <c r="BG10" s="224" t="s">
        <v>137</v>
      </c>
      <c r="BH10" s="221" t="s">
        <v>138</v>
      </c>
      <c r="BI10" s="259" t="s">
        <v>139</v>
      </c>
      <c r="BJ10" s="451" t="s">
        <v>140</v>
      </c>
      <c r="BK10" s="452" t="s">
        <v>141</v>
      </c>
      <c r="BL10" s="224" t="s">
        <v>142</v>
      </c>
      <c r="BM10" s="221" t="s">
        <v>143</v>
      </c>
      <c r="BN10" s="221" t="s">
        <v>144</v>
      </c>
      <c r="BO10" s="223" t="s">
        <v>145</v>
      </c>
      <c r="BP10" s="224" t="s">
        <v>146</v>
      </c>
      <c r="BQ10" s="223" t="s">
        <v>147</v>
      </c>
      <c r="BR10" s="280" t="s">
        <v>148</v>
      </c>
      <c r="BS10" s="259" t="s">
        <v>149</v>
      </c>
      <c r="BT10" s="281" t="s">
        <v>150</v>
      </c>
      <c r="BU10" s="225" t="s">
        <v>151</v>
      </c>
      <c r="BV10" s="280" t="s">
        <v>152</v>
      </c>
      <c r="BW10" s="259" t="s">
        <v>153</v>
      </c>
      <c r="BX10" s="259" t="s">
        <v>154</v>
      </c>
      <c r="BY10" s="259" t="s">
        <v>155</v>
      </c>
      <c r="BZ10" s="259" t="s">
        <v>156</v>
      </c>
      <c r="CA10" s="259" t="s">
        <v>157</v>
      </c>
      <c r="CB10" s="259" t="s">
        <v>158</v>
      </c>
      <c r="CC10" s="281" t="s">
        <v>159</v>
      </c>
      <c r="CD10" s="280" t="s">
        <v>160</v>
      </c>
      <c r="CE10" s="259" t="s">
        <v>161</v>
      </c>
      <c r="CF10" s="259" t="s">
        <v>162</v>
      </c>
      <c r="CG10" s="281" t="s">
        <v>163</v>
      </c>
      <c r="CH10" s="280" t="s">
        <v>164</v>
      </c>
      <c r="CI10" s="281" t="s">
        <v>165</v>
      </c>
      <c r="CJ10" s="280" t="s">
        <v>166</v>
      </c>
      <c r="CK10" s="259" t="s">
        <v>167</v>
      </c>
      <c r="CL10" s="259" t="s">
        <v>168</v>
      </c>
      <c r="CM10" s="281" t="s">
        <v>169</v>
      </c>
      <c r="CN10" s="280" t="s">
        <v>170</v>
      </c>
      <c r="CO10" s="259" t="s">
        <v>171</v>
      </c>
      <c r="CP10" s="259" t="s">
        <v>172</v>
      </c>
      <c r="CQ10" s="259" t="s">
        <v>173</v>
      </c>
      <c r="CR10" s="281" t="s">
        <v>174</v>
      </c>
      <c r="CS10" s="280" t="s">
        <v>175</v>
      </c>
      <c r="CT10" s="259" t="s">
        <v>241</v>
      </c>
      <c r="CU10" s="281" t="s">
        <v>242</v>
      </c>
      <c r="CV10" s="280" t="s">
        <v>243</v>
      </c>
      <c r="CW10" s="259" t="s">
        <v>244</v>
      </c>
      <c r="CX10" s="281" t="s">
        <v>245</v>
      </c>
      <c r="CY10" s="280" t="s">
        <v>246</v>
      </c>
      <c r="CZ10" s="259" t="s">
        <v>247</v>
      </c>
      <c r="DA10" s="259" t="s">
        <v>248</v>
      </c>
      <c r="DB10" s="281" t="s">
        <v>249</v>
      </c>
      <c r="DC10" s="280" t="s">
        <v>250</v>
      </c>
      <c r="DD10" s="259" t="s">
        <v>251</v>
      </c>
      <c r="DE10" s="281" t="s">
        <v>252</v>
      </c>
      <c r="DF10" s="280" t="s">
        <v>253</v>
      </c>
      <c r="DG10" s="259" t="s">
        <v>254</v>
      </c>
      <c r="DH10" s="259" t="s">
        <v>176</v>
      </c>
      <c r="DI10" s="259" t="s">
        <v>177</v>
      </c>
      <c r="DJ10" s="281" t="s">
        <v>178</v>
      </c>
      <c r="DK10" s="280" t="s">
        <v>179</v>
      </c>
      <c r="DL10" s="259" t="s">
        <v>180</v>
      </c>
      <c r="DM10" s="259" t="s">
        <v>181</v>
      </c>
      <c r="DN10" s="259" t="s">
        <v>182</v>
      </c>
      <c r="DO10" s="259" t="s">
        <v>183</v>
      </c>
      <c r="DP10" s="259" t="s">
        <v>184</v>
      </c>
      <c r="DQ10" s="281" t="s">
        <v>185</v>
      </c>
      <c r="DR10" s="280" t="s">
        <v>186</v>
      </c>
      <c r="DS10" s="281" t="s">
        <v>187</v>
      </c>
      <c r="DT10" s="280" t="s">
        <v>188</v>
      </c>
      <c r="DU10" s="259" t="s">
        <v>189</v>
      </c>
      <c r="DV10" s="281" t="s">
        <v>190</v>
      </c>
      <c r="DW10" s="280" t="s">
        <v>191</v>
      </c>
      <c r="DX10" s="259" t="s">
        <v>192</v>
      </c>
      <c r="DY10" s="281" t="s">
        <v>193</v>
      </c>
      <c r="DZ10" s="280" t="s">
        <v>194</v>
      </c>
      <c r="EA10" s="259" t="s">
        <v>195</v>
      </c>
      <c r="EB10" s="259" t="s">
        <v>196</v>
      </c>
      <c r="EC10" s="259" t="s">
        <v>197</v>
      </c>
      <c r="ED10" s="281" t="s">
        <v>200</v>
      </c>
      <c r="EE10" s="280" t="s">
        <v>345</v>
      </c>
      <c r="EF10" s="281" t="s">
        <v>201</v>
      </c>
      <c r="EG10" s="280" t="s">
        <v>202</v>
      </c>
      <c r="EH10" s="259" t="s">
        <v>203</v>
      </c>
      <c r="EI10" s="281" t="s">
        <v>204</v>
      </c>
      <c r="EJ10" s="280" t="s">
        <v>346</v>
      </c>
      <c r="EK10" s="259" t="s">
        <v>295</v>
      </c>
      <c r="EL10" s="281" t="s">
        <v>296</v>
      </c>
      <c r="EM10" s="404" t="s">
        <v>301</v>
      </c>
      <c r="EN10" s="404" t="s">
        <v>396</v>
      </c>
      <c r="EO10" s="418" t="s">
        <v>313</v>
      </c>
      <c r="EP10" s="280" t="s">
        <v>338</v>
      </c>
      <c r="EQ10" s="259" t="s">
        <v>339</v>
      </c>
      <c r="ER10" s="259" t="s">
        <v>347</v>
      </c>
      <c r="ES10" s="281" t="s">
        <v>364</v>
      </c>
      <c r="ET10" s="224" t="s">
        <v>365</v>
      </c>
      <c r="EU10" s="221" t="s">
        <v>366</v>
      </c>
      <c r="EV10" s="226" t="s">
        <v>367</v>
      </c>
      <c r="EW10" s="226" t="s">
        <v>368</v>
      </c>
      <c r="EX10" s="227" t="s">
        <v>369</v>
      </c>
    </row>
    <row r="11" spans="1:154" s="584" customFormat="1" ht="12.75" x14ac:dyDescent="0.2">
      <c r="A11" s="594">
        <v>1</v>
      </c>
      <c r="B11" s="548" t="s">
        <v>351</v>
      </c>
      <c r="C11" s="585">
        <v>220101</v>
      </c>
      <c r="D11" s="548" t="s">
        <v>350</v>
      </c>
      <c r="E11" s="547">
        <v>310</v>
      </c>
      <c r="F11" s="587" t="s">
        <v>352</v>
      </c>
      <c r="G11" s="588" t="s">
        <v>450</v>
      </c>
      <c r="H11" s="549" t="s">
        <v>353</v>
      </c>
      <c r="I11" s="595" t="s">
        <v>447</v>
      </c>
      <c r="J11" s="551"/>
      <c r="K11" s="552"/>
      <c r="L11" s="589"/>
      <c r="M11" s="590"/>
      <c r="N11" s="596"/>
      <c r="O11" s="622"/>
      <c r="P11" s="592"/>
      <c r="Q11" s="597"/>
      <c r="R11" s="597"/>
      <c r="S11" s="564"/>
      <c r="T11" s="564"/>
      <c r="U11" s="564"/>
      <c r="V11" s="564"/>
      <c r="W11" s="564"/>
      <c r="X11" s="564"/>
      <c r="Y11" s="564"/>
      <c r="Z11" s="564"/>
      <c r="AA11" s="598"/>
      <c r="AB11" s="592"/>
      <c r="AC11" s="564"/>
      <c r="AD11" s="559"/>
      <c r="AE11" s="559"/>
      <c r="AF11" s="559"/>
      <c r="AG11" s="559"/>
      <c r="AH11" s="560"/>
      <c r="AI11" s="593"/>
      <c r="AJ11" s="559"/>
      <c r="AK11" s="559"/>
      <c r="AL11" s="559"/>
      <c r="AM11" s="562"/>
      <c r="AN11" s="563"/>
      <c r="AO11" s="628" t="s">
        <v>452</v>
      </c>
      <c r="AP11" s="559"/>
      <c r="AQ11" s="559"/>
      <c r="AR11" s="559"/>
      <c r="AS11" s="620" t="s">
        <v>445</v>
      </c>
      <c r="AT11" s="558"/>
      <c r="AU11" s="563"/>
      <c r="AV11" s="563"/>
      <c r="AW11" s="563"/>
      <c r="AX11" s="559"/>
      <c r="AY11" s="559"/>
      <c r="AZ11" s="559"/>
      <c r="BA11" s="559"/>
      <c r="BB11" s="559"/>
      <c r="BC11" s="599"/>
      <c r="BD11" s="600"/>
      <c r="BE11" s="559"/>
      <c r="BF11" s="601"/>
      <c r="BG11" s="558"/>
      <c r="BH11" s="559"/>
      <c r="BI11" s="593"/>
      <c r="BJ11" s="602"/>
      <c r="BK11" s="603"/>
      <c r="BL11" s="559"/>
      <c r="BM11" s="559"/>
      <c r="BN11" s="559"/>
      <c r="BO11" s="559"/>
      <c r="BP11" s="559"/>
      <c r="BQ11" s="593"/>
      <c r="BR11" s="600"/>
      <c r="BS11" s="604"/>
      <c r="BT11" s="567"/>
      <c r="BU11" s="570"/>
      <c r="BV11" s="558"/>
      <c r="BW11" s="559"/>
      <c r="BX11" s="559"/>
      <c r="BY11" s="559"/>
      <c r="BZ11" s="559"/>
      <c r="CA11" s="559"/>
      <c r="CB11" s="559"/>
      <c r="CC11" s="605"/>
      <c r="CD11" s="558"/>
      <c r="CE11" s="559"/>
      <c r="CF11" s="559"/>
      <c r="CG11" s="601"/>
      <c r="CH11" s="558"/>
      <c r="CI11" s="601"/>
      <c r="CJ11" s="600"/>
      <c r="CK11" s="559"/>
      <c r="CL11" s="559"/>
      <c r="CM11" s="601"/>
      <c r="CN11" s="600"/>
      <c r="CO11" s="559"/>
      <c r="CP11" s="559"/>
      <c r="CQ11" s="559"/>
      <c r="CR11" s="601"/>
      <c r="CS11" s="558"/>
      <c r="CT11" s="606"/>
      <c r="CU11" s="607"/>
      <c r="CV11" s="608"/>
      <c r="CW11" s="609"/>
      <c r="CX11" s="610"/>
      <c r="CY11" s="558"/>
      <c r="CZ11" s="621"/>
      <c r="DA11" s="611"/>
      <c r="DB11" s="612"/>
      <c r="DC11" s="613"/>
      <c r="DD11" s="593"/>
      <c r="DE11" s="601"/>
      <c r="DF11" s="558"/>
      <c r="DG11" s="621"/>
      <c r="DH11" s="559"/>
      <c r="DI11" s="614"/>
      <c r="DJ11" s="615"/>
      <c r="DK11" s="558"/>
      <c r="DL11" s="559"/>
      <c r="DM11" s="559"/>
      <c r="DN11" s="559"/>
      <c r="DO11" s="559"/>
      <c r="DP11" s="559"/>
      <c r="DQ11" s="605"/>
      <c r="DR11" s="558"/>
      <c r="DS11" s="601"/>
      <c r="DT11" s="558"/>
      <c r="DU11" s="559"/>
      <c r="DV11" s="616"/>
      <c r="DW11" s="558"/>
      <c r="DX11" s="559"/>
      <c r="DY11" s="601"/>
      <c r="DZ11" s="558"/>
      <c r="EA11" s="559"/>
      <c r="EB11" s="559"/>
      <c r="EC11" s="559"/>
      <c r="ED11" s="605"/>
      <c r="EE11" s="558"/>
      <c r="EF11" s="601"/>
      <c r="EG11" s="600"/>
      <c r="EH11" s="559"/>
      <c r="EI11" s="616"/>
      <c r="EJ11" s="558"/>
      <c r="EK11" s="559"/>
      <c r="EL11" s="616"/>
      <c r="EM11" s="612"/>
      <c r="EN11" s="617"/>
      <c r="EO11" s="618"/>
      <c r="EP11" s="619"/>
      <c r="EQ11" s="559"/>
      <c r="ER11" s="559"/>
      <c r="ES11" s="601"/>
      <c r="ET11" s="581"/>
      <c r="EU11" s="582"/>
      <c r="EV11" s="582"/>
      <c r="EW11" s="582"/>
      <c r="EX11" s="583"/>
    </row>
    <row r="12" spans="1:154" s="584" customFormat="1" ht="12.75" x14ac:dyDescent="0.2">
      <c r="A12" s="594">
        <v>2</v>
      </c>
      <c r="B12" s="548" t="s">
        <v>351</v>
      </c>
      <c r="C12" s="585">
        <v>220101</v>
      </c>
      <c r="D12" s="548" t="s">
        <v>350</v>
      </c>
      <c r="E12" s="547">
        <v>310</v>
      </c>
      <c r="F12" s="587" t="s">
        <v>352</v>
      </c>
      <c r="G12" s="588" t="s">
        <v>450</v>
      </c>
      <c r="H12" s="549" t="s">
        <v>353</v>
      </c>
      <c r="I12" s="595" t="s">
        <v>444</v>
      </c>
      <c r="J12" s="551"/>
      <c r="K12" s="552"/>
      <c r="L12" s="589"/>
      <c r="M12" s="563"/>
      <c r="N12" s="623"/>
      <c r="O12" s="591"/>
      <c r="P12" s="558"/>
      <c r="Q12" s="624"/>
      <c r="R12" s="624"/>
      <c r="S12" s="559"/>
      <c r="T12" s="559"/>
      <c r="U12" s="559"/>
      <c r="V12" s="559"/>
      <c r="W12" s="559"/>
      <c r="X12" s="559"/>
      <c r="Y12" s="559"/>
      <c r="Z12" s="559"/>
      <c r="AA12" s="601"/>
      <c r="AB12" s="592" t="s">
        <v>451</v>
      </c>
      <c r="AC12" s="564"/>
      <c r="AD12" s="559"/>
      <c r="AE12" s="559"/>
      <c r="AF12" s="559"/>
      <c r="AG12" s="559"/>
      <c r="AH12" s="560"/>
      <c r="AI12" s="593"/>
      <c r="AJ12" s="559"/>
      <c r="AK12" s="559"/>
      <c r="AL12" s="559"/>
      <c r="AM12" s="562"/>
      <c r="AN12" s="563"/>
      <c r="AO12" s="628" t="s">
        <v>453</v>
      </c>
      <c r="AP12" s="559"/>
      <c r="AQ12" s="559"/>
      <c r="AR12" s="559"/>
      <c r="AS12" s="565" t="s">
        <v>445</v>
      </c>
      <c r="AT12" s="558"/>
      <c r="AU12" s="563"/>
      <c r="AV12" s="563"/>
      <c r="AW12" s="563"/>
      <c r="AX12" s="559"/>
      <c r="AY12" s="559"/>
      <c r="AZ12" s="559"/>
      <c r="BA12" s="559"/>
      <c r="BB12" s="559"/>
      <c r="BC12" s="599"/>
      <c r="BD12" s="600"/>
      <c r="BE12" s="559"/>
      <c r="BF12" s="601"/>
      <c r="BG12" s="558"/>
      <c r="BH12" s="559"/>
      <c r="BI12" s="593"/>
      <c r="BJ12" s="602"/>
      <c r="BK12" s="603"/>
      <c r="BL12" s="559"/>
      <c r="BM12" s="559"/>
      <c r="BN12" s="559"/>
      <c r="BO12" s="559"/>
      <c r="BP12" s="559"/>
      <c r="BQ12" s="593"/>
      <c r="BR12" s="600"/>
      <c r="BS12" s="604"/>
      <c r="BT12" s="567"/>
      <c r="BU12" s="570"/>
      <c r="BV12" s="558"/>
      <c r="BW12" s="559"/>
      <c r="BX12" s="559"/>
      <c r="BY12" s="559"/>
      <c r="BZ12" s="559"/>
      <c r="CA12" s="559"/>
      <c r="CB12" s="559"/>
      <c r="CC12" s="605"/>
      <c r="CD12" s="558"/>
      <c r="CE12" s="559"/>
      <c r="CF12" s="559"/>
      <c r="CG12" s="601"/>
      <c r="CH12" s="558"/>
      <c r="CI12" s="601"/>
      <c r="CJ12" s="600"/>
      <c r="CK12" s="559"/>
      <c r="CL12" s="559"/>
      <c r="CM12" s="601"/>
      <c r="CN12" s="600"/>
      <c r="CO12" s="559"/>
      <c r="CP12" s="559"/>
      <c r="CQ12" s="559"/>
      <c r="CR12" s="601"/>
      <c r="CS12" s="558"/>
      <c r="CT12" s="606"/>
      <c r="CU12" s="607"/>
      <c r="CV12" s="608"/>
      <c r="CW12" s="609"/>
      <c r="CX12" s="610"/>
      <c r="CY12" s="558"/>
      <c r="CZ12" s="621"/>
      <c r="DA12" s="611"/>
      <c r="DB12" s="612"/>
      <c r="DC12" s="613"/>
      <c r="DD12" s="593"/>
      <c r="DE12" s="601"/>
      <c r="DF12" s="558"/>
      <c r="DG12" s="621"/>
      <c r="DH12" s="559"/>
      <c r="DI12" s="625"/>
      <c r="DJ12" s="615"/>
      <c r="DK12" s="558"/>
      <c r="DL12" s="559"/>
      <c r="DM12" s="559"/>
      <c r="DN12" s="559"/>
      <c r="DO12" s="559"/>
      <c r="DP12" s="559"/>
      <c r="DQ12" s="605"/>
      <c r="DR12" s="558"/>
      <c r="DS12" s="601"/>
      <c r="DT12" s="558"/>
      <c r="DU12" s="559"/>
      <c r="DV12" s="616"/>
      <c r="DW12" s="558"/>
      <c r="DX12" s="559"/>
      <c r="DY12" s="601"/>
      <c r="DZ12" s="558"/>
      <c r="EA12" s="559"/>
      <c r="EB12" s="559"/>
      <c r="EC12" s="559"/>
      <c r="ED12" s="605"/>
      <c r="EE12" s="558"/>
      <c r="EF12" s="601"/>
      <c r="EG12" s="600"/>
      <c r="EH12" s="559"/>
      <c r="EI12" s="616"/>
      <c r="EJ12" s="558"/>
      <c r="EK12" s="559"/>
      <c r="EL12" s="616"/>
      <c r="EM12" s="612"/>
      <c r="EN12" s="617"/>
      <c r="EO12" s="618"/>
      <c r="EP12" s="619"/>
      <c r="EQ12" s="559"/>
      <c r="ER12" s="559"/>
      <c r="ES12" s="601"/>
      <c r="ET12" s="581"/>
      <c r="EU12" s="582"/>
      <c r="EV12" s="582"/>
      <c r="EW12" s="582"/>
      <c r="EX12" s="583"/>
    </row>
    <row r="13" spans="1:154" s="584" customFormat="1" ht="12.75" x14ac:dyDescent="0.2">
      <c r="A13" s="594">
        <v>3</v>
      </c>
      <c r="B13" s="548" t="s">
        <v>351</v>
      </c>
      <c r="C13" s="585">
        <v>220101</v>
      </c>
      <c r="D13" s="548" t="s">
        <v>350</v>
      </c>
      <c r="E13" s="547">
        <v>310</v>
      </c>
      <c r="F13" s="587" t="s">
        <v>352</v>
      </c>
      <c r="G13" s="588" t="s">
        <v>450</v>
      </c>
      <c r="H13" s="549" t="s">
        <v>353</v>
      </c>
      <c r="I13" s="595" t="s">
        <v>443</v>
      </c>
      <c r="J13" s="551"/>
      <c r="K13" s="552"/>
      <c r="L13" s="553"/>
      <c r="M13" s="563"/>
      <c r="N13" s="623"/>
      <c r="O13" s="591"/>
      <c r="P13" s="558"/>
      <c r="Q13" s="624"/>
      <c r="R13" s="624"/>
      <c r="S13" s="559"/>
      <c r="T13" s="559"/>
      <c r="U13" s="559"/>
      <c r="V13" s="559"/>
      <c r="W13" s="559"/>
      <c r="X13" s="559"/>
      <c r="Y13" s="559"/>
      <c r="Z13" s="559"/>
      <c r="AA13" s="601"/>
      <c r="AB13" s="592" t="s">
        <v>451</v>
      </c>
      <c r="AC13" s="559"/>
      <c r="AD13" s="559"/>
      <c r="AE13" s="559"/>
      <c r="AF13" s="559"/>
      <c r="AG13" s="559"/>
      <c r="AH13" s="560"/>
      <c r="AI13" s="593"/>
      <c r="AJ13" s="559"/>
      <c r="AK13" s="559"/>
      <c r="AL13" s="559"/>
      <c r="AM13" s="562"/>
      <c r="AN13" s="563"/>
      <c r="AO13" s="628" t="s">
        <v>454</v>
      </c>
      <c r="AP13" s="559"/>
      <c r="AQ13" s="559"/>
      <c r="AR13" s="559" t="s">
        <v>455</v>
      </c>
      <c r="AS13" s="620" t="s">
        <v>445</v>
      </c>
      <c r="AT13" s="558"/>
      <c r="AU13" s="563"/>
      <c r="AV13" s="563"/>
      <c r="AW13" s="563"/>
      <c r="AX13" s="559"/>
      <c r="AY13" s="559"/>
      <c r="AZ13" s="559"/>
      <c r="BA13" s="559"/>
      <c r="BB13" s="559"/>
      <c r="BC13" s="599"/>
      <c r="BD13" s="600"/>
      <c r="BE13" s="559"/>
      <c r="BF13" s="601"/>
      <c r="BG13" s="558"/>
      <c r="BH13" s="559"/>
      <c r="BI13" s="593"/>
      <c r="BJ13" s="602"/>
      <c r="BK13" s="603"/>
      <c r="BL13" s="559"/>
      <c r="BM13" s="559"/>
      <c r="BN13" s="559"/>
      <c r="BO13" s="559"/>
      <c r="BP13" s="559"/>
      <c r="BQ13" s="593"/>
      <c r="BR13" s="600"/>
      <c r="BS13" s="604"/>
      <c r="BT13" s="567"/>
      <c r="BU13" s="570"/>
      <c r="BV13" s="558"/>
      <c r="BW13" s="559"/>
      <c r="BX13" s="559"/>
      <c r="BY13" s="559"/>
      <c r="BZ13" s="559"/>
      <c r="CA13" s="559"/>
      <c r="CB13" s="559"/>
      <c r="CC13" s="605"/>
      <c r="CD13" s="558"/>
      <c r="CE13" s="559"/>
      <c r="CF13" s="559"/>
      <c r="CG13" s="601"/>
      <c r="CH13" s="558"/>
      <c r="CI13" s="601"/>
      <c r="CJ13" s="600"/>
      <c r="CK13" s="559"/>
      <c r="CL13" s="559"/>
      <c r="CM13" s="601"/>
      <c r="CN13" s="600"/>
      <c r="CO13" s="559"/>
      <c r="CP13" s="559"/>
      <c r="CQ13" s="559"/>
      <c r="CR13" s="601"/>
      <c r="CS13" s="558"/>
      <c r="CT13" s="606"/>
      <c r="CU13" s="607"/>
      <c r="CV13" s="608"/>
      <c r="CW13" s="609"/>
      <c r="CX13" s="610"/>
      <c r="CY13" s="558"/>
      <c r="CZ13" s="621"/>
      <c r="DA13" s="611"/>
      <c r="DB13" s="612"/>
      <c r="DC13" s="613"/>
      <c r="DD13" s="593"/>
      <c r="DE13" s="601"/>
      <c r="DF13" s="558"/>
      <c r="DG13" s="621"/>
      <c r="DH13" s="559"/>
      <c r="DI13" s="614"/>
      <c r="DJ13" s="615"/>
      <c r="DK13" s="558"/>
      <c r="DL13" s="559"/>
      <c r="DM13" s="559"/>
      <c r="DN13" s="559"/>
      <c r="DO13" s="559"/>
      <c r="DP13" s="559"/>
      <c r="DQ13" s="605"/>
      <c r="DR13" s="558"/>
      <c r="DS13" s="601"/>
      <c r="DT13" s="558"/>
      <c r="DU13" s="559"/>
      <c r="DV13" s="616"/>
      <c r="DW13" s="558"/>
      <c r="DX13" s="559"/>
      <c r="DY13" s="601"/>
      <c r="DZ13" s="558"/>
      <c r="EA13" s="559"/>
      <c r="EB13" s="559"/>
      <c r="EC13" s="559"/>
      <c r="ED13" s="605"/>
      <c r="EE13" s="558"/>
      <c r="EF13" s="601"/>
      <c r="EG13" s="600"/>
      <c r="EH13" s="559"/>
      <c r="EI13" s="616"/>
      <c r="EJ13" s="558"/>
      <c r="EK13" s="559"/>
      <c r="EL13" s="616"/>
      <c r="EM13" s="612"/>
      <c r="EN13" s="617"/>
      <c r="EO13" s="618"/>
      <c r="EP13" s="619"/>
      <c r="EQ13" s="559"/>
      <c r="ER13" s="559"/>
      <c r="ES13" s="601"/>
      <c r="ET13" s="581"/>
      <c r="EU13" s="582"/>
      <c r="EV13" s="582"/>
      <c r="EW13" s="582"/>
      <c r="EX13" s="583"/>
    </row>
    <row r="14" spans="1:154" s="584" customFormat="1" ht="12.75" x14ac:dyDescent="0.2">
      <c r="A14" s="594">
        <v>4</v>
      </c>
      <c r="B14" s="548" t="s">
        <v>351</v>
      </c>
      <c r="C14" s="585">
        <v>220101</v>
      </c>
      <c r="D14" s="548" t="s">
        <v>350</v>
      </c>
      <c r="E14" s="547">
        <v>310</v>
      </c>
      <c r="F14" s="587" t="s">
        <v>352</v>
      </c>
      <c r="G14" s="588" t="s">
        <v>450</v>
      </c>
      <c r="H14" s="549" t="s">
        <v>353</v>
      </c>
      <c r="I14" s="595" t="s">
        <v>446</v>
      </c>
      <c r="J14" s="551"/>
      <c r="K14" s="552"/>
      <c r="L14" s="553"/>
      <c r="M14" s="563"/>
      <c r="N14" s="623"/>
      <c r="O14" s="591"/>
      <c r="P14" s="558"/>
      <c r="Q14" s="624"/>
      <c r="R14" s="624"/>
      <c r="S14" s="559"/>
      <c r="T14" s="559"/>
      <c r="U14" s="559"/>
      <c r="V14" s="559"/>
      <c r="W14" s="559"/>
      <c r="X14" s="559"/>
      <c r="Y14" s="559"/>
      <c r="Z14" s="559"/>
      <c r="AA14" s="601"/>
      <c r="AB14" s="592" t="s">
        <v>451</v>
      </c>
      <c r="AC14" s="564"/>
      <c r="AD14" s="559"/>
      <c r="AE14" s="559"/>
      <c r="AF14" s="559"/>
      <c r="AG14" s="559"/>
      <c r="AH14" s="560"/>
      <c r="AI14" s="593"/>
      <c r="AJ14" s="559"/>
      <c r="AK14" s="559"/>
      <c r="AL14" s="559"/>
      <c r="AM14" s="562"/>
      <c r="AN14" s="563"/>
      <c r="AO14" s="628" t="s">
        <v>456</v>
      </c>
      <c r="AP14" s="559"/>
      <c r="AQ14" s="559"/>
      <c r="AR14" s="559" t="s">
        <v>448</v>
      </c>
      <c r="AS14" s="601" t="s">
        <v>445</v>
      </c>
      <c r="AT14" s="558"/>
      <c r="AU14" s="563"/>
      <c r="AV14" s="563"/>
      <c r="AW14" s="563"/>
      <c r="AX14" s="559"/>
      <c r="AY14" s="559"/>
      <c r="AZ14" s="559"/>
      <c r="BA14" s="559"/>
      <c r="BB14" s="559"/>
      <c r="BC14" s="599"/>
      <c r="BD14" s="600"/>
      <c r="BE14" s="559"/>
      <c r="BF14" s="601"/>
      <c r="BG14" s="558"/>
      <c r="BH14" s="559"/>
      <c r="BI14" s="593"/>
      <c r="BJ14" s="602"/>
      <c r="BK14" s="603"/>
      <c r="BL14" s="559"/>
      <c r="BM14" s="559"/>
      <c r="BN14" s="559"/>
      <c r="BO14" s="559"/>
      <c r="BP14" s="559"/>
      <c r="BQ14" s="593"/>
      <c r="BR14" s="600"/>
      <c r="BS14" s="604"/>
      <c r="BT14" s="567"/>
      <c r="BU14" s="570"/>
      <c r="BV14" s="558"/>
      <c r="BW14" s="559"/>
      <c r="BX14" s="559"/>
      <c r="BY14" s="559"/>
      <c r="BZ14" s="559"/>
      <c r="CA14" s="559"/>
      <c r="CB14" s="559"/>
      <c r="CC14" s="605"/>
      <c r="CD14" s="558"/>
      <c r="CE14" s="559"/>
      <c r="CF14" s="559"/>
      <c r="CG14" s="601"/>
      <c r="CH14" s="558"/>
      <c r="CI14" s="601"/>
      <c r="CJ14" s="600"/>
      <c r="CK14" s="559"/>
      <c r="CL14" s="559"/>
      <c r="CM14" s="601"/>
      <c r="CN14" s="600"/>
      <c r="CO14" s="559"/>
      <c r="CP14" s="559"/>
      <c r="CQ14" s="559"/>
      <c r="CR14" s="601"/>
      <c r="CS14" s="558"/>
      <c r="CT14" s="606"/>
      <c r="CU14" s="607"/>
      <c r="CV14" s="608"/>
      <c r="CW14" s="609"/>
      <c r="CX14" s="610"/>
      <c r="CY14" s="558"/>
      <c r="CZ14" s="621"/>
      <c r="DA14" s="611"/>
      <c r="DB14" s="612"/>
      <c r="DC14" s="613"/>
      <c r="DD14" s="593"/>
      <c r="DE14" s="601"/>
      <c r="DF14" s="558"/>
      <c r="DG14" s="621"/>
      <c r="DH14" s="559"/>
      <c r="DI14" s="614"/>
      <c r="DJ14" s="615"/>
      <c r="DK14" s="558"/>
      <c r="DL14" s="559"/>
      <c r="DM14" s="559"/>
      <c r="DN14" s="559"/>
      <c r="DO14" s="559"/>
      <c r="DP14" s="559"/>
      <c r="DQ14" s="605"/>
      <c r="DR14" s="558"/>
      <c r="DS14" s="601"/>
      <c r="DT14" s="558"/>
      <c r="DU14" s="559"/>
      <c r="DV14" s="616"/>
      <c r="DW14" s="558"/>
      <c r="DX14" s="559"/>
      <c r="DY14" s="601"/>
      <c r="DZ14" s="558"/>
      <c r="EA14" s="559"/>
      <c r="EB14" s="559"/>
      <c r="EC14" s="559"/>
      <c r="ED14" s="605"/>
      <c r="EE14" s="558"/>
      <c r="EF14" s="601"/>
      <c r="EG14" s="600"/>
      <c r="EH14" s="559"/>
      <c r="EI14" s="616"/>
      <c r="EJ14" s="558"/>
      <c r="EK14" s="559"/>
      <c r="EL14" s="616"/>
      <c r="EM14" s="612"/>
      <c r="EN14" s="617"/>
      <c r="EO14" s="618"/>
      <c r="EP14" s="619"/>
      <c r="EQ14" s="559"/>
      <c r="ER14" s="559"/>
      <c r="ES14" s="601"/>
      <c r="ET14" s="581"/>
      <c r="EU14" s="582"/>
      <c r="EV14" s="582"/>
      <c r="EW14" s="582"/>
      <c r="EX14" s="583"/>
    </row>
    <row r="15" spans="1:154" s="584" customFormat="1" ht="12.75" x14ac:dyDescent="0.2">
      <c r="A15" s="594">
        <v>5</v>
      </c>
      <c r="B15" s="548" t="s">
        <v>351</v>
      </c>
      <c r="C15" s="585">
        <v>220101</v>
      </c>
      <c r="D15" s="548" t="s">
        <v>350</v>
      </c>
      <c r="E15" s="547">
        <v>320</v>
      </c>
      <c r="F15" s="587" t="s">
        <v>352</v>
      </c>
      <c r="G15" s="588" t="s">
        <v>450</v>
      </c>
      <c r="H15" s="549" t="s">
        <v>353</v>
      </c>
      <c r="I15" s="595" t="s">
        <v>457</v>
      </c>
      <c r="J15" s="551"/>
      <c r="K15" s="552"/>
      <c r="L15" s="553"/>
      <c r="M15" s="563"/>
      <c r="N15" s="554"/>
      <c r="O15" s="555"/>
      <c r="P15" s="556"/>
      <c r="Q15" s="534"/>
      <c r="R15" s="534"/>
      <c r="S15" s="552"/>
      <c r="T15" s="552"/>
      <c r="U15" s="552"/>
      <c r="V15" s="552"/>
      <c r="W15" s="552"/>
      <c r="X15" s="552"/>
      <c r="Y15" s="552"/>
      <c r="Z15" s="552"/>
      <c r="AA15" s="557"/>
      <c r="AB15" s="592" t="s">
        <v>451</v>
      </c>
      <c r="AC15" s="552"/>
      <c r="AD15" s="552"/>
      <c r="AE15" s="552"/>
      <c r="AF15" s="552"/>
      <c r="AG15" s="559"/>
      <c r="AH15" s="560"/>
      <c r="AI15" s="561"/>
      <c r="AJ15" s="559"/>
      <c r="AK15" s="552"/>
      <c r="AL15" s="552"/>
      <c r="AM15" s="562"/>
      <c r="AN15" s="563"/>
      <c r="AO15" s="628" t="s">
        <v>453</v>
      </c>
      <c r="AP15" s="559"/>
      <c r="AQ15" s="559"/>
      <c r="AR15" s="559"/>
      <c r="AS15" s="620" t="s">
        <v>445</v>
      </c>
      <c r="AT15" s="556"/>
      <c r="AU15" s="563"/>
      <c r="AV15" s="563"/>
      <c r="AW15" s="563"/>
      <c r="AX15" s="552"/>
      <c r="AY15" s="559"/>
      <c r="AZ15" s="552"/>
      <c r="BA15" s="552"/>
      <c r="BB15" s="559"/>
      <c r="BC15" s="297"/>
      <c r="BD15" s="566"/>
      <c r="BE15" s="552"/>
      <c r="BF15" s="557"/>
      <c r="BG15" s="558"/>
      <c r="BH15" s="559"/>
      <c r="BI15" s="561"/>
      <c r="BJ15" s="453"/>
      <c r="BK15" s="626"/>
      <c r="BL15" s="559"/>
      <c r="BM15" s="559"/>
      <c r="BN15" s="559"/>
      <c r="BO15" s="559"/>
      <c r="BP15" s="559"/>
      <c r="BQ15" s="593"/>
      <c r="BR15" s="566"/>
      <c r="BS15" s="568"/>
      <c r="BT15" s="569"/>
      <c r="BU15" s="570"/>
      <c r="BV15" s="556"/>
      <c r="BW15" s="552"/>
      <c r="BX15" s="552"/>
      <c r="BY15" s="552"/>
      <c r="BZ15" s="552"/>
      <c r="CA15" s="552"/>
      <c r="CB15" s="552"/>
      <c r="CC15" s="571"/>
      <c r="CD15" s="556"/>
      <c r="CE15" s="552"/>
      <c r="CF15" s="552"/>
      <c r="CG15" s="557"/>
      <c r="CH15" s="556"/>
      <c r="CI15" s="557"/>
      <c r="CJ15" s="566"/>
      <c r="CK15" s="552"/>
      <c r="CL15" s="552"/>
      <c r="CM15" s="557"/>
      <c r="CN15" s="566"/>
      <c r="CO15" s="552"/>
      <c r="CP15" s="552"/>
      <c r="CQ15" s="552"/>
      <c r="CR15" s="557"/>
      <c r="CS15" s="556"/>
      <c r="CT15" s="572"/>
      <c r="CU15" s="343"/>
      <c r="CV15" s="573"/>
      <c r="CW15" s="574"/>
      <c r="CX15" s="575"/>
      <c r="CY15" s="556"/>
      <c r="CZ15" s="586"/>
      <c r="DA15" s="576"/>
      <c r="DB15" s="344"/>
      <c r="DC15" s="577"/>
      <c r="DD15" s="561"/>
      <c r="DE15" s="557"/>
      <c r="DF15" s="556"/>
      <c r="DG15" s="586"/>
      <c r="DH15" s="552"/>
      <c r="DI15" s="376"/>
      <c r="DJ15" s="377"/>
      <c r="DK15" s="556"/>
      <c r="DL15" s="552"/>
      <c r="DM15" s="552"/>
      <c r="DN15" s="552"/>
      <c r="DO15" s="552"/>
      <c r="DP15" s="552"/>
      <c r="DQ15" s="571"/>
      <c r="DR15" s="556"/>
      <c r="DS15" s="557"/>
      <c r="DT15" s="556"/>
      <c r="DU15" s="552"/>
      <c r="DV15" s="378"/>
      <c r="DW15" s="556"/>
      <c r="DX15" s="552"/>
      <c r="DY15" s="557"/>
      <c r="DZ15" s="556"/>
      <c r="EA15" s="552"/>
      <c r="EB15" s="552"/>
      <c r="EC15" s="552"/>
      <c r="ED15" s="571"/>
      <c r="EE15" s="556"/>
      <c r="EF15" s="557"/>
      <c r="EG15" s="566"/>
      <c r="EH15" s="552"/>
      <c r="EI15" s="378"/>
      <c r="EJ15" s="556"/>
      <c r="EK15" s="552"/>
      <c r="EL15" s="378"/>
      <c r="EM15" s="344"/>
      <c r="EN15" s="578"/>
      <c r="EO15" s="579"/>
      <c r="EP15" s="580"/>
      <c r="EQ15" s="552"/>
      <c r="ER15" s="552"/>
      <c r="ES15" s="557"/>
      <c r="ET15" s="581"/>
      <c r="EU15" s="582"/>
      <c r="EV15" s="582"/>
      <c r="EW15" s="582"/>
      <c r="EX15" s="583"/>
    </row>
    <row r="16" spans="1:154" s="584" customFormat="1" ht="12.75" x14ac:dyDescent="0.2">
      <c r="A16" s="594">
        <v>6</v>
      </c>
      <c r="B16" s="548" t="s">
        <v>351</v>
      </c>
      <c r="C16" s="585">
        <v>220101</v>
      </c>
      <c r="D16" s="548" t="s">
        <v>350</v>
      </c>
      <c r="E16" s="547">
        <v>320</v>
      </c>
      <c r="F16" s="587" t="s">
        <v>352</v>
      </c>
      <c r="G16" s="588" t="s">
        <v>450</v>
      </c>
      <c r="H16" s="549" t="s">
        <v>353</v>
      </c>
      <c r="I16" s="595" t="s">
        <v>458</v>
      </c>
      <c r="J16" s="551"/>
      <c r="K16" s="552"/>
      <c r="L16" s="553"/>
      <c r="M16" s="563"/>
      <c r="N16" s="554"/>
      <c r="O16" s="555"/>
      <c r="P16" s="556"/>
      <c r="Q16" s="534"/>
      <c r="R16" s="534"/>
      <c r="S16" s="552"/>
      <c r="T16" s="552"/>
      <c r="U16" s="552"/>
      <c r="V16" s="552"/>
      <c r="W16" s="552"/>
      <c r="X16" s="552"/>
      <c r="Y16" s="552"/>
      <c r="Z16" s="552"/>
      <c r="AA16" s="557"/>
      <c r="AB16" s="592" t="s">
        <v>451</v>
      </c>
      <c r="AC16" s="552"/>
      <c r="AD16" s="552"/>
      <c r="AE16" s="552"/>
      <c r="AF16" s="552"/>
      <c r="AG16" s="559"/>
      <c r="AH16" s="560"/>
      <c r="AI16" s="561"/>
      <c r="AJ16" s="559"/>
      <c r="AK16" s="552"/>
      <c r="AL16" s="552"/>
      <c r="AM16" s="562"/>
      <c r="AN16" s="563"/>
      <c r="AO16" s="628" t="s">
        <v>453</v>
      </c>
      <c r="AP16" s="559"/>
      <c r="AQ16" s="559"/>
      <c r="AR16" s="559"/>
      <c r="AS16" s="620" t="s">
        <v>445</v>
      </c>
      <c r="AT16" s="556"/>
      <c r="AU16" s="563"/>
      <c r="AV16" s="563"/>
      <c r="AW16" s="563"/>
      <c r="AX16" s="552"/>
      <c r="AY16" s="559"/>
      <c r="AZ16" s="552"/>
      <c r="BA16" s="552"/>
      <c r="BB16" s="559"/>
      <c r="BC16" s="297"/>
      <c r="BD16" s="566"/>
      <c r="BE16" s="552"/>
      <c r="BF16" s="557"/>
      <c r="BG16" s="558"/>
      <c r="BH16" s="559"/>
      <c r="BI16" s="561"/>
      <c r="BJ16" s="453"/>
      <c r="BK16" s="626"/>
      <c r="BL16" s="559"/>
      <c r="BM16" s="559"/>
      <c r="BN16" s="559"/>
      <c r="BO16" s="559"/>
      <c r="BP16" s="559"/>
      <c r="BQ16" s="593"/>
      <c r="BR16" s="566"/>
      <c r="BS16" s="568"/>
      <c r="BT16" s="569"/>
      <c r="BU16" s="570"/>
      <c r="BV16" s="556"/>
      <c r="BW16" s="552"/>
      <c r="BX16" s="552"/>
      <c r="BY16" s="552"/>
      <c r="BZ16" s="552"/>
      <c r="CA16" s="552"/>
      <c r="CB16" s="552"/>
      <c r="CC16" s="571"/>
      <c r="CD16" s="556"/>
      <c r="CE16" s="552"/>
      <c r="CF16" s="552"/>
      <c r="CG16" s="557"/>
      <c r="CH16" s="556"/>
      <c r="CI16" s="557"/>
      <c r="CJ16" s="566"/>
      <c r="CK16" s="552"/>
      <c r="CL16" s="552"/>
      <c r="CM16" s="557"/>
      <c r="CN16" s="566"/>
      <c r="CO16" s="552"/>
      <c r="CP16" s="552"/>
      <c r="CQ16" s="552"/>
      <c r="CR16" s="557"/>
      <c r="CS16" s="556"/>
      <c r="CT16" s="572"/>
      <c r="CU16" s="343"/>
      <c r="CV16" s="573"/>
      <c r="CW16" s="574"/>
      <c r="CX16" s="575"/>
      <c r="CY16" s="556"/>
      <c r="CZ16" s="586"/>
      <c r="DA16" s="576"/>
      <c r="DB16" s="344"/>
      <c r="DC16" s="577"/>
      <c r="DD16" s="561"/>
      <c r="DE16" s="557"/>
      <c r="DF16" s="556"/>
      <c r="DG16" s="586"/>
      <c r="DH16" s="552"/>
      <c r="DI16" s="376"/>
      <c r="DJ16" s="377"/>
      <c r="DK16" s="556"/>
      <c r="DL16" s="552"/>
      <c r="DM16" s="552"/>
      <c r="DN16" s="552"/>
      <c r="DO16" s="552"/>
      <c r="DP16" s="552"/>
      <c r="DQ16" s="571"/>
      <c r="DR16" s="556"/>
      <c r="DS16" s="557"/>
      <c r="DT16" s="556"/>
      <c r="DU16" s="552"/>
      <c r="DV16" s="378"/>
      <c r="DW16" s="556"/>
      <c r="DX16" s="552"/>
      <c r="DY16" s="557"/>
      <c r="DZ16" s="556"/>
      <c r="EA16" s="552"/>
      <c r="EB16" s="552"/>
      <c r="EC16" s="552"/>
      <c r="ED16" s="571"/>
      <c r="EE16" s="556"/>
      <c r="EF16" s="557"/>
      <c r="EG16" s="566"/>
      <c r="EH16" s="552"/>
      <c r="EI16" s="378"/>
      <c r="EJ16" s="556"/>
      <c r="EK16" s="552"/>
      <c r="EL16" s="378"/>
      <c r="EM16" s="344"/>
      <c r="EN16" s="578"/>
      <c r="EO16" s="579"/>
      <c r="EP16" s="580"/>
      <c r="EQ16" s="552"/>
      <c r="ER16" s="552"/>
      <c r="ES16" s="557"/>
      <c r="ET16" s="581"/>
      <c r="EU16" s="582"/>
      <c r="EV16" s="582"/>
      <c r="EW16" s="582"/>
      <c r="EX16" s="583"/>
    </row>
    <row r="17" spans="1:154" s="584" customFormat="1" ht="12.75" x14ac:dyDescent="0.2">
      <c r="A17" s="594">
        <v>7</v>
      </c>
      <c r="B17" s="548" t="s">
        <v>351</v>
      </c>
      <c r="C17" s="585">
        <v>220101</v>
      </c>
      <c r="D17" s="548" t="s">
        <v>350</v>
      </c>
      <c r="E17" s="547">
        <v>320</v>
      </c>
      <c r="F17" s="587" t="s">
        <v>352</v>
      </c>
      <c r="G17" s="588" t="s">
        <v>459</v>
      </c>
      <c r="H17" s="549" t="s">
        <v>353</v>
      </c>
      <c r="I17" s="550" t="s">
        <v>460</v>
      </c>
      <c r="J17" s="551"/>
      <c r="K17" s="552"/>
      <c r="L17" s="589"/>
      <c r="M17" s="563"/>
      <c r="N17" s="554"/>
      <c r="O17" s="555"/>
      <c r="P17" s="556"/>
      <c r="Q17" s="534"/>
      <c r="R17" s="534"/>
      <c r="S17" s="552"/>
      <c r="T17" s="552"/>
      <c r="U17" s="552"/>
      <c r="V17" s="552"/>
      <c r="W17" s="552"/>
      <c r="X17" s="552"/>
      <c r="Y17" s="552"/>
      <c r="Z17" s="552"/>
      <c r="AA17" s="557"/>
      <c r="AB17" s="558" t="s">
        <v>451</v>
      </c>
      <c r="AC17" s="552"/>
      <c r="AD17" s="552"/>
      <c r="AE17" s="552"/>
      <c r="AF17" s="552"/>
      <c r="AG17" s="559"/>
      <c r="AH17" s="560"/>
      <c r="AI17" s="561"/>
      <c r="AJ17" s="559"/>
      <c r="AK17" s="552"/>
      <c r="AL17" s="552"/>
      <c r="AM17" s="562"/>
      <c r="AN17" s="563"/>
      <c r="AO17" s="628" t="s">
        <v>461</v>
      </c>
      <c r="AP17" s="552"/>
      <c r="AQ17" s="559"/>
      <c r="AR17" s="559" t="s">
        <v>462</v>
      </c>
      <c r="AS17" s="601" t="s">
        <v>445</v>
      </c>
      <c r="AT17" s="556"/>
      <c r="AU17" s="563"/>
      <c r="AV17" s="563"/>
      <c r="AW17" s="563"/>
      <c r="AX17" s="552"/>
      <c r="AY17" s="559"/>
      <c r="AZ17" s="552"/>
      <c r="BA17" s="552"/>
      <c r="BB17" s="559"/>
      <c r="BC17" s="297"/>
      <c r="BD17" s="566"/>
      <c r="BE17" s="552"/>
      <c r="BF17" s="557"/>
      <c r="BG17" s="558"/>
      <c r="BH17" s="559"/>
      <c r="BI17" s="561"/>
      <c r="BJ17" s="453"/>
      <c r="BK17" s="626"/>
      <c r="BL17" s="559"/>
      <c r="BM17" s="559"/>
      <c r="BN17" s="559"/>
      <c r="BO17" s="559"/>
      <c r="BP17" s="559"/>
      <c r="BQ17" s="593"/>
      <c r="BR17" s="566"/>
      <c r="BS17" s="568"/>
      <c r="BT17" s="569"/>
      <c r="BU17" s="627"/>
      <c r="BV17" s="556"/>
      <c r="BW17" s="552"/>
      <c r="BX17" s="552"/>
      <c r="BY17" s="552"/>
      <c r="BZ17" s="552"/>
      <c r="CA17" s="552"/>
      <c r="CB17" s="552"/>
      <c r="CC17" s="571"/>
      <c r="CD17" s="556"/>
      <c r="CE17" s="552"/>
      <c r="CF17" s="552"/>
      <c r="CG17" s="557"/>
      <c r="CH17" s="556"/>
      <c r="CI17" s="557"/>
      <c r="CJ17" s="566"/>
      <c r="CK17" s="552"/>
      <c r="CL17" s="552"/>
      <c r="CM17" s="557"/>
      <c r="CN17" s="566"/>
      <c r="CO17" s="552"/>
      <c r="CP17" s="552"/>
      <c r="CQ17" s="552"/>
      <c r="CR17" s="557"/>
      <c r="CS17" s="556"/>
      <c r="CT17" s="572"/>
      <c r="CU17" s="343"/>
      <c r="CV17" s="573"/>
      <c r="CW17" s="574"/>
      <c r="CX17" s="575"/>
      <c r="CY17" s="556"/>
      <c r="CZ17" s="552"/>
      <c r="DA17" s="576"/>
      <c r="DB17" s="344"/>
      <c r="DC17" s="577"/>
      <c r="DD17" s="561"/>
      <c r="DE17" s="557"/>
      <c r="DF17" s="556"/>
      <c r="DG17" s="552"/>
      <c r="DH17" s="552"/>
      <c r="DI17" s="376"/>
      <c r="DJ17" s="377"/>
      <c r="DK17" s="556"/>
      <c r="DL17" s="552"/>
      <c r="DM17" s="552"/>
      <c r="DN17" s="552"/>
      <c r="DO17" s="552"/>
      <c r="DP17" s="552"/>
      <c r="DQ17" s="571"/>
      <c r="DR17" s="556"/>
      <c r="DS17" s="557"/>
      <c r="DT17" s="556"/>
      <c r="DU17" s="552"/>
      <c r="DV17" s="378"/>
      <c r="DW17" s="556"/>
      <c r="DX17" s="552"/>
      <c r="DY17" s="557"/>
      <c r="DZ17" s="556"/>
      <c r="EA17" s="552"/>
      <c r="EB17" s="552"/>
      <c r="EC17" s="552"/>
      <c r="ED17" s="571"/>
      <c r="EE17" s="556"/>
      <c r="EF17" s="557"/>
      <c r="EG17" s="566"/>
      <c r="EH17" s="552"/>
      <c r="EI17" s="378"/>
      <c r="EJ17" s="556"/>
      <c r="EK17" s="552"/>
      <c r="EL17" s="378"/>
      <c r="EM17" s="344"/>
      <c r="EN17" s="578"/>
      <c r="EO17" s="579"/>
      <c r="EP17" s="580"/>
      <c r="EQ17" s="552"/>
      <c r="ER17" s="552"/>
      <c r="ES17" s="557"/>
      <c r="ET17" s="581"/>
      <c r="EU17" s="582"/>
      <c r="EV17" s="582"/>
      <c r="EW17" s="582"/>
      <c r="EX17" s="583"/>
    </row>
  </sheetData>
  <autoFilter ref="A10:FD17" xr:uid="{00000000-0001-0000-0000-000000000000}"/>
  <dataConsolidate/>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454CFD78-7EB2-4021-847C-1171AA8D0A7C}"/>
    </customSheetView>
  </customSheetViews>
  <mergeCells count="11">
    <mergeCell ref="CD4:CD7"/>
    <mergeCell ref="BY5:BY7"/>
    <mergeCell ref="CN5:CN7"/>
    <mergeCell ref="CG4:CG7"/>
    <mergeCell ref="CE4:CE7"/>
    <mergeCell ref="CF4:CF7"/>
    <mergeCell ref="BA4:BA7"/>
    <mergeCell ref="BD4:BD7"/>
    <mergeCell ref="BE4:BE7"/>
    <mergeCell ref="BT4:BT7"/>
    <mergeCell ref="BF4:BF7"/>
  </mergeCells>
  <phoneticPr fontId="0" type="noConversion"/>
  <printOptions gridLinesSet="0"/>
  <pageMargins left="0.39370078740157483" right="0.39370078740157483" top="0" bottom="0.39370078740157483" header="0.19685039370078741" footer="0.19685039370078741"/>
  <pageSetup paperSize="8" scale="15" fitToHeight="0" orientation="landscape" r:id="rId2"/>
  <headerFooter alignWithMargins="0">
    <oddFooter>&amp;CSide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5156" r:id="rId5"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7"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8"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9" name="Button 5387">
              <controlPr defaultSize="0" print="0" autoFill="0" autoPict="0" macro="[0]!createFDV">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21" customWidth="1"/>
    <col min="2" max="2" width="9.42578125" style="21" customWidth="1"/>
    <col min="3" max="3" width="11.140625" style="21" customWidth="1"/>
    <col min="4" max="4" width="53.7109375" style="25" customWidth="1"/>
    <col min="5" max="5" width="15.42578125" style="21" customWidth="1"/>
    <col min="6" max="6" width="12.85546875" style="21" customWidth="1"/>
    <col min="7" max="7" width="30.42578125" style="23" customWidth="1"/>
    <col min="8" max="256" width="11.42578125" style="23" customWidth="1"/>
    <col min="257" max="16384" width="9.140625" style="23"/>
  </cols>
  <sheetData>
    <row r="1" spans="1:7" ht="52.5" customHeight="1" thickBot="1" x14ac:dyDescent="0.25">
      <c r="A1" s="638">
        <f ca="1">TODAY()</f>
        <v>45401</v>
      </c>
      <c r="B1" s="639"/>
      <c r="C1" s="29"/>
      <c r="D1" s="66" t="s">
        <v>398</v>
      </c>
      <c r="E1" s="30">
        <f>Database!$B$3</f>
        <v>0</v>
      </c>
      <c r="F1" s="30"/>
      <c r="G1" s="30">
        <f>Database!$K$3</f>
        <v>0</v>
      </c>
    </row>
    <row r="2" spans="1:7" ht="39" thickBot="1" x14ac:dyDescent="0.25">
      <c r="A2" s="31" t="s">
        <v>292</v>
      </c>
      <c r="B2" s="32" t="s">
        <v>354</v>
      </c>
      <c r="C2" s="32" t="s">
        <v>355</v>
      </c>
      <c r="D2" s="32" t="s">
        <v>348</v>
      </c>
      <c r="E2" s="33" t="s">
        <v>88</v>
      </c>
      <c r="F2" s="32" t="s">
        <v>290</v>
      </c>
      <c r="G2" s="34" t="s">
        <v>291</v>
      </c>
    </row>
    <row r="3" spans="1:7" x14ac:dyDescent="0.2">
      <c r="A3" s="24"/>
      <c r="E3" s="26"/>
      <c r="G3" s="27"/>
    </row>
    <row r="4" spans="1:7" x14ac:dyDescent="0.2">
      <c r="E4" s="26"/>
      <c r="F4" s="22"/>
      <c r="G4" s="27"/>
    </row>
    <row r="5" spans="1:7" x14ac:dyDescent="0.2">
      <c r="E5" s="26"/>
      <c r="G5" s="27"/>
    </row>
    <row r="6" spans="1:7" x14ac:dyDescent="0.2">
      <c r="E6" s="26"/>
      <c r="G6" s="27"/>
    </row>
    <row r="7" spans="1:7" x14ac:dyDescent="0.2">
      <c r="D7" s="28"/>
      <c r="E7" s="26"/>
      <c r="F7" s="24"/>
      <c r="G7" s="27"/>
    </row>
    <row r="8" spans="1:7" x14ac:dyDescent="0.2">
      <c r="E8" s="26"/>
      <c r="G8" s="27"/>
    </row>
    <row r="9" spans="1:7" x14ac:dyDescent="0.2">
      <c r="E9" s="26"/>
      <c r="F9" s="24"/>
      <c r="G9" s="27"/>
    </row>
    <row r="10" spans="1:7" x14ac:dyDescent="0.2">
      <c r="E10" s="26"/>
      <c r="G10" s="27"/>
    </row>
    <row r="11" spans="1:7" x14ac:dyDescent="0.2">
      <c r="D11" s="28"/>
      <c r="E11" s="26"/>
      <c r="G11" s="27"/>
    </row>
    <row r="12" spans="1:7" x14ac:dyDescent="0.2">
      <c r="E12" s="26"/>
      <c r="G12" s="27"/>
    </row>
    <row r="13" spans="1:7" x14ac:dyDescent="0.2">
      <c r="C13" s="24"/>
      <c r="E13" s="26"/>
      <c r="G13" s="27"/>
    </row>
    <row r="14" spans="1:7" x14ac:dyDescent="0.2">
      <c r="C14" s="24"/>
      <c r="E14" s="26"/>
      <c r="G14" s="27"/>
    </row>
    <row r="15" spans="1:7" x14ac:dyDescent="0.2">
      <c r="C15" s="24"/>
      <c r="E15" s="26"/>
      <c r="G15" s="27"/>
    </row>
    <row r="16" spans="1:7" x14ac:dyDescent="0.2">
      <c r="C16" s="24"/>
      <c r="E16" s="26"/>
      <c r="G16" s="27"/>
    </row>
    <row r="17" spans="5:7" x14ac:dyDescent="0.2">
      <c r="E17" s="26"/>
      <c r="G17" s="27"/>
    </row>
    <row r="18" spans="5:7" x14ac:dyDescent="0.2">
      <c r="E18" s="26"/>
      <c r="G18" s="27"/>
    </row>
    <row r="19" spans="5:7" x14ac:dyDescent="0.2">
      <c r="E19" s="26"/>
      <c r="G19" s="27"/>
    </row>
    <row r="20" spans="5:7" x14ac:dyDescent="0.2">
      <c r="E20" s="26"/>
      <c r="G20" s="27"/>
    </row>
    <row r="21" spans="5:7" x14ac:dyDescent="0.2">
      <c r="E21" s="26"/>
      <c r="G21" s="27"/>
    </row>
    <row r="22" spans="5:7" x14ac:dyDescent="0.2">
      <c r="E22" s="26"/>
      <c r="G22" s="27"/>
    </row>
    <row r="23" spans="5:7" x14ac:dyDescent="0.2">
      <c r="E23" s="26"/>
      <c r="G23" s="27"/>
    </row>
    <row r="24" spans="5:7" x14ac:dyDescent="0.2">
      <c r="E24" s="26"/>
      <c r="G24" s="27"/>
    </row>
    <row r="25" spans="5:7" x14ac:dyDescent="0.2">
      <c r="E25" s="26"/>
      <c r="G25" s="27"/>
    </row>
    <row r="26" spans="5:7" x14ac:dyDescent="0.2">
      <c r="E26" s="26"/>
      <c r="G26" s="27"/>
    </row>
    <row r="27" spans="5:7" x14ac:dyDescent="0.2">
      <c r="E27" s="26"/>
      <c r="G27" s="27"/>
    </row>
    <row r="28" spans="5:7" x14ac:dyDescent="0.2">
      <c r="E28" s="26"/>
      <c r="G28" s="27"/>
    </row>
    <row r="29" spans="5:7" x14ac:dyDescent="0.2">
      <c r="E29" s="26"/>
      <c r="G29" s="27"/>
    </row>
    <row r="30" spans="5:7" x14ac:dyDescent="0.2">
      <c r="E30" s="26"/>
      <c r="G30" s="27"/>
    </row>
    <row r="31" spans="5:7" x14ac:dyDescent="0.2">
      <c r="E31" s="26"/>
      <c r="G31" s="27"/>
    </row>
    <row r="32" spans="5:7" x14ac:dyDescent="0.2">
      <c r="E32" s="26"/>
      <c r="G32" s="27"/>
    </row>
    <row r="33" spans="4:7" x14ac:dyDescent="0.2">
      <c r="E33" s="26"/>
      <c r="G33" s="27"/>
    </row>
    <row r="34" spans="4:7" x14ac:dyDescent="0.2">
      <c r="E34" s="26"/>
      <c r="G34" s="27"/>
    </row>
    <row r="35" spans="4:7" x14ac:dyDescent="0.2">
      <c r="E35" s="26"/>
      <c r="G35" s="27"/>
    </row>
    <row r="36" spans="4:7" x14ac:dyDescent="0.2">
      <c r="E36" s="24"/>
      <c r="G36" s="27"/>
    </row>
    <row r="37" spans="4:7" x14ac:dyDescent="0.2">
      <c r="E37" s="26"/>
      <c r="G37" s="27"/>
    </row>
    <row r="38" spans="4:7" x14ac:dyDescent="0.2">
      <c r="E38" s="26"/>
      <c r="G38" s="27"/>
    </row>
    <row r="39" spans="4:7" x14ac:dyDescent="0.2">
      <c r="E39" s="26"/>
      <c r="G39" s="27"/>
    </row>
    <row r="40" spans="4:7" x14ac:dyDescent="0.2">
      <c r="D40" s="28"/>
      <c r="E40" s="26"/>
      <c r="G40" s="27"/>
    </row>
    <row r="41" spans="4:7" x14ac:dyDescent="0.2">
      <c r="E41" s="26"/>
      <c r="G41" s="27"/>
    </row>
    <row r="42" spans="4:7" x14ac:dyDescent="0.2">
      <c r="E42" s="26"/>
      <c r="G42" s="27"/>
    </row>
    <row r="43" spans="4:7" x14ac:dyDescent="0.2">
      <c r="E43" s="26"/>
      <c r="G43" s="27"/>
    </row>
    <row r="44" spans="4:7" x14ac:dyDescent="0.2">
      <c r="E44" s="26"/>
      <c r="G44" s="27"/>
    </row>
    <row r="45" spans="4:7" x14ac:dyDescent="0.2">
      <c r="E45" s="26"/>
      <c r="G45" s="27"/>
    </row>
    <row r="46" spans="4:7" x14ac:dyDescent="0.2">
      <c r="E46" s="26"/>
      <c r="G46" s="27"/>
    </row>
    <row r="47" spans="4:7" x14ac:dyDescent="0.2">
      <c r="E47" s="26"/>
      <c r="G47" s="27"/>
    </row>
    <row r="48" spans="4:7" x14ac:dyDescent="0.2">
      <c r="E48" s="26"/>
      <c r="G48" s="27"/>
    </row>
    <row r="49" spans="5:7" x14ac:dyDescent="0.2">
      <c r="E49" s="26"/>
      <c r="G49" s="27"/>
    </row>
    <row r="50" spans="5:7" x14ac:dyDescent="0.2">
      <c r="E50" s="26"/>
      <c r="G50" s="27"/>
    </row>
    <row r="51" spans="5:7" x14ac:dyDescent="0.2">
      <c r="E51" s="26"/>
      <c r="G51" s="27"/>
    </row>
    <row r="52" spans="5:7" x14ac:dyDescent="0.2">
      <c r="E52" s="26"/>
      <c r="G52" s="27"/>
    </row>
    <row r="53" spans="5:7" x14ac:dyDescent="0.2">
      <c r="E53" s="26"/>
      <c r="G53" s="27"/>
    </row>
    <row r="54" spans="5:7" x14ac:dyDescent="0.2">
      <c r="E54" s="26"/>
      <c r="G54" s="27"/>
    </row>
    <row r="55" spans="5:7" x14ac:dyDescent="0.2">
      <c r="E55" s="26"/>
      <c r="G55" s="27"/>
    </row>
    <row r="56" spans="5:7" x14ac:dyDescent="0.2">
      <c r="E56" s="26"/>
      <c r="G56" s="27"/>
    </row>
    <row r="57" spans="5:7" x14ac:dyDescent="0.2">
      <c r="E57" s="26"/>
      <c r="G57" s="27"/>
    </row>
    <row r="58" spans="5:7" x14ac:dyDescent="0.2">
      <c r="E58" s="26"/>
      <c r="G58" s="27"/>
    </row>
    <row r="59" spans="5:7" x14ac:dyDescent="0.2">
      <c r="E59" s="26"/>
      <c r="G59" s="27"/>
    </row>
    <row r="60" spans="5:7" x14ac:dyDescent="0.2">
      <c r="E60" s="26"/>
      <c r="G60" s="27"/>
    </row>
    <row r="61" spans="5:7" x14ac:dyDescent="0.2">
      <c r="E61" s="26"/>
      <c r="G61" s="27"/>
    </row>
    <row r="62" spans="5:7" x14ac:dyDescent="0.2">
      <c r="E62" s="26"/>
      <c r="G62" s="27"/>
    </row>
    <row r="63" spans="5:7" x14ac:dyDescent="0.2">
      <c r="E63" s="26"/>
      <c r="G63" s="27"/>
    </row>
    <row r="64" spans="5:7" x14ac:dyDescent="0.2">
      <c r="E64" s="26"/>
      <c r="G64" s="27"/>
    </row>
    <row r="65" spans="5:7" x14ac:dyDescent="0.2">
      <c r="E65" s="26"/>
      <c r="G65" s="27"/>
    </row>
    <row r="66" spans="5:7" x14ac:dyDescent="0.2">
      <c r="E66" s="26"/>
      <c r="G66" s="27"/>
    </row>
    <row r="67" spans="5:7" x14ac:dyDescent="0.2">
      <c r="E67" s="26"/>
      <c r="G67" s="27"/>
    </row>
    <row r="68" spans="5:7" x14ac:dyDescent="0.2">
      <c r="E68" s="26"/>
      <c r="G68" s="27"/>
    </row>
    <row r="69" spans="5:7" x14ac:dyDescent="0.2">
      <c r="E69" s="26"/>
      <c r="G69" s="27"/>
    </row>
    <row r="70" spans="5:7" x14ac:dyDescent="0.2">
      <c r="E70" s="26"/>
      <c r="G70" s="27"/>
    </row>
    <row r="71" spans="5:7" x14ac:dyDescent="0.2">
      <c r="E71" s="26"/>
      <c r="G71" s="27"/>
    </row>
    <row r="72" spans="5:7" x14ac:dyDescent="0.2">
      <c r="E72" s="26"/>
      <c r="G72" s="27"/>
    </row>
    <row r="73" spans="5:7" x14ac:dyDescent="0.2">
      <c r="E73" s="26"/>
      <c r="G73" s="27"/>
    </row>
    <row r="74" spans="5:7" x14ac:dyDescent="0.2">
      <c r="E74" s="26"/>
      <c r="G74" s="27"/>
    </row>
    <row r="75" spans="5:7" x14ac:dyDescent="0.2">
      <c r="E75" s="26"/>
      <c r="G75" s="27"/>
    </row>
    <row r="76" spans="5:7" x14ac:dyDescent="0.2">
      <c r="E76" s="26"/>
      <c r="G76" s="27"/>
    </row>
    <row r="77" spans="5:7" x14ac:dyDescent="0.2">
      <c r="E77" s="26"/>
      <c r="G77" s="27"/>
    </row>
    <row r="78" spans="5:7" x14ac:dyDescent="0.2">
      <c r="E78" s="26"/>
      <c r="G78" s="27"/>
    </row>
    <row r="79" spans="5:7" x14ac:dyDescent="0.2">
      <c r="E79" s="26"/>
      <c r="G79" s="27"/>
    </row>
    <row r="80" spans="5:7" x14ac:dyDescent="0.2">
      <c r="E80" s="26"/>
      <c r="G80" s="27"/>
    </row>
    <row r="81" spans="5:7" x14ac:dyDescent="0.2">
      <c r="E81" s="26"/>
      <c r="G81" s="27"/>
    </row>
    <row r="82" spans="5:7" x14ac:dyDescent="0.2">
      <c r="E82" s="26"/>
      <c r="G82" s="27"/>
    </row>
    <row r="83" spans="5:7" x14ac:dyDescent="0.2">
      <c r="E83" s="26"/>
      <c r="G83" s="27"/>
    </row>
    <row r="84" spans="5:7" x14ac:dyDescent="0.2">
      <c r="E84" s="26"/>
      <c r="G84" s="27"/>
    </row>
    <row r="85" spans="5:7" x14ac:dyDescent="0.2">
      <c r="E85" s="26"/>
      <c r="G85" s="27"/>
    </row>
    <row r="86" spans="5:7" x14ac:dyDescent="0.2">
      <c r="E86" s="26"/>
      <c r="G86" s="27"/>
    </row>
    <row r="87" spans="5:7" x14ac:dyDescent="0.2">
      <c r="E87" s="26"/>
      <c r="G87" s="27"/>
    </row>
    <row r="88" spans="5:7" x14ac:dyDescent="0.2">
      <c r="G88" s="27"/>
    </row>
    <row r="89" spans="5:7" x14ac:dyDescent="0.2">
      <c r="G89" s="27"/>
    </row>
    <row r="90" spans="5:7" x14ac:dyDescent="0.2">
      <c r="G90" s="27"/>
    </row>
    <row r="91" spans="5:7" x14ac:dyDescent="0.2">
      <c r="G91" s="27"/>
    </row>
    <row r="92" spans="5:7" x14ac:dyDescent="0.2">
      <c r="G92" s="27"/>
    </row>
    <row r="93" spans="5:7" x14ac:dyDescent="0.2">
      <c r="G93" s="27"/>
    </row>
    <row r="94" spans="5:7" x14ac:dyDescent="0.2">
      <c r="G94" s="27"/>
    </row>
    <row r="95" spans="5:7" x14ac:dyDescent="0.2">
      <c r="G95" s="27"/>
    </row>
    <row r="96" spans="5:7" x14ac:dyDescent="0.2">
      <c r="G96" s="27"/>
    </row>
    <row r="97" spans="7:7" x14ac:dyDescent="0.2">
      <c r="G97" s="27"/>
    </row>
    <row r="98" spans="7:7" x14ac:dyDescent="0.2">
      <c r="G98" s="27"/>
    </row>
    <row r="99" spans="7:7" x14ac:dyDescent="0.2">
      <c r="G99" s="27"/>
    </row>
    <row r="100" spans="7:7" x14ac:dyDescent="0.2">
      <c r="G100" s="27"/>
    </row>
    <row r="101" spans="7:7" x14ac:dyDescent="0.2">
      <c r="G101" s="27"/>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641" t="s">
        <v>398</v>
      </c>
      <c r="B1" s="642"/>
      <c r="C1" s="642"/>
      <c r="D1" s="642"/>
      <c r="E1" s="642"/>
    </row>
    <row r="2" spans="1:5" ht="29.25" customHeight="1" thickBot="1" x14ac:dyDescent="0.25">
      <c r="B2" s="20"/>
    </row>
    <row r="3" spans="1:5" s="5" customFormat="1" ht="15.75" x14ac:dyDescent="0.25">
      <c r="A3" s="44">
        <f>Database!B3</f>
        <v>0</v>
      </c>
      <c r="B3" s="45"/>
      <c r="C3" s="45">
        <f>Database!K3</f>
        <v>0</v>
      </c>
      <c r="D3" s="46"/>
    </row>
    <row r="4" spans="1:5" s="5" customFormat="1" ht="15.75" x14ac:dyDescent="0.25">
      <c r="A4" s="47">
        <f>Database!B4</f>
        <v>0</v>
      </c>
      <c r="B4" s="48"/>
      <c r="C4" s="48" t="str">
        <f>Database!K4</f>
        <v>Kontrakt:</v>
      </c>
      <c r="D4" s="49">
        <f>Database!L4</f>
        <v>0</v>
      </c>
    </row>
    <row r="5" spans="1:5" s="5" customFormat="1" ht="16.5" thickBot="1" x14ac:dyDescent="0.3">
      <c r="A5" s="50" t="str">
        <f>Database!B5</f>
        <v>Dato:</v>
      </c>
      <c r="B5" s="51">
        <f ca="1">Database!G5</f>
        <v>45401</v>
      </c>
      <c r="C5" s="52" t="str">
        <f>Database!K5</f>
        <v>Rev:</v>
      </c>
      <c r="D5" s="53">
        <f>Database!L5</f>
        <v>0</v>
      </c>
    </row>
    <row r="6" spans="1:5" s="5" customFormat="1" ht="15.75" x14ac:dyDescent="0.25">
      <c r="A6" s="48"/>
      <c r="B6" s="54"/>
      <c r="C6" s="48"/>
      <c r="D6" s="55"/>
    </row>
    <row r="8" spans="1:5" ht="23.25" x14ac:dyDescent="0.35">
      <c r="A8" s="640" t="s">
        <v>379</v>
      </c>
      <c r="B8" s="640"/>
      <c r="C8" s="640"/>
      <c r="D8" s="640"/>
      <c r="E8" s="640"/>
    </row>
    <row r="9" spans="1:5" ht="23.25" x14ac:dyDescent="0.35">
      <c r="A9" s="4"/>
      <c r="B9" s="4"/>
      <c r="C9" s="4"/>
      <c r="D9" s="4"/>
    </row>
    <row r="10" spans="1:5" s="39" customFormat="1" ht="20.25" x14ac:dyDescent="0.3">
      <c r="A10" s="57" t="s">
        <v>390</v>
      </c>
      <c r="B10" s="38"/>
      <c r="C10" s="38"/>
      <c r="D10" s="38"/>
    </row>
    <row r="11" spans="1:5" ht="15.75" x14ac:dyDescent="0.25">
      <c r="A11" s="5"/>
      <c r="B11" s="5"/>
      <c r="C11" s="7" t="s">
        <v>293</v>
      </c>
      <c r="D11" s="3" t="s">
        <v>388</v>
      </c>
      <c r="E11" s="1"/>
    </row>
    <row r="12" spans="1:5" ht="6" customHeight="1" x14ac:dyDescent="0.25">
      <c r="A12" s="5"/>
      <c r="B12" s="5"/>
      <c r="C12" s="7"/>
      <c r="D12" s="3"/>
      <c r="E12" s="1"/>
    </row>
    <row r="13" spans="1:5" ht="20.100000000000001" customHeight="1" x14ac:dyDescent="0.2">
      <c r="A13" s="5" t="s">
        <v>304</v>
      </c>
      <c r="B13" s="5"/>
      <c r="C13" s="58">
        <v>0.15</v>
      </c>
      <c r="D13" s="59">
        <f>Database!$DA$5</f>
        <v>0</v>
      </c>
      <c r="E13" s="2"/>
    </row>
    <row r="14" spans="1:5" ht="20.100000000000001" customHeight="1" x14ac:dyDescent="0.2">
      <c r="A14" s="5" t="s">
        <v>305</v>
      </c>
      <c r="B14" s="5"/>
      <c r="C14" s="58">
        <v>0.25</v>
      </c>
      <c r="D14" s="59">
        <f>Database!$DI$5</f>
        <v>0</v>
      </c>
      <c r="E14" s="2"/>
    </row>
    <row r="15" spans="1:5" ht="20.100000000000001" customHeight="1" x14ac:dyDescent="0.2">
      <c r="A15" s="5" t="s">
        <v>306</v>
      </c>
      <c r="B15" s="5"/>
      <c r="C15" s="58">
        <v>0.25</v>
      </c>
      <c r="D15" s="59">
        <f>Database!$DU$5</f>
        <v>0</v>
      </c>
      <c r="E15" s="2"/>
    </row>
    <row r="16" spans="1:5" ht="20.100000000000001" customHeight="1" x14ac:dyDescent="0.2">
      <c r="A16" s="5" t="s">
        <v>307</v>
      </c>
      <c r="B16" s="5"/>
      <c r="C16" s="58">
        <v>0.25</v>
      </c>
      <c r="D16" s="59">
        <f>Database!$EH$5</f>
        <v>0</v>
      </c>
      <c r="E16" s="2"/>
    </row>
    <row r="17" spans="1:5" ht="20.100000000000001" customHeight="1" x14ac:dyDescent="0.2">
      <c r="A17" s="5" t="s">
        <v>308</v>
      </c>
      <c r="B17" s="5"/>
      <c r="C17" s="58">
        <v>0.1</v>
      </c>
      <c r="D17" s="59">
        <f>Database!$EK$5</f>
        <v>0</v>
      </c>
      <c r="E17" s="2"/>
    </row>
    <row r="18" spans="1:5" ht="6" customHeight="1" x14ac:dyDescent="0.2">
      <c r="C18" s="60"/>
      <c r="D18" s="7"/>
    </row>
    <row r="19" spans="1:5" s="5" customFormat="1" ht="24" customHeight="1" x14ac:dyDescent="0.2">
      <c r="A19" s="56" t="s">
        <v>391</v>
      </c>
      <c r="B19" s="56"/>
      <c r="C19" s="61">
        <f>SUM(C13:C18)</f>
        <v>1</v>
      </c>
      <c r="D19" s="62">
        <f>D13*C13+D14*C14+D15*C15+D16*C16+D17*C17</f>
        <v>0</v>
      </c>
    </row>
    <row r="27" spans="1:5" s="8" customFormat="1" ht="20.100000000000001" customHeight="1" x14ac:dyDescent="0.25">
      <c r="C27" s="10" t="s">
        <v>385</v>
      </c>
      <c r="D27" s="10" t="s">
        <v>389</v>
      </c>
      <c r="E27" s="10" t="s">
        <v>386</v>
      </c>
    </row>
    <row r="28" spans="1:5" s="8" customFormat="1" ht="20.100000000000001" customHeight="1" x14ac:dyDescent="0.25"/>
    <row r="29" spans="1:5" s="5" customFormat="1" ht="20.100000000000001" customHeight="1" x14ac:dyDescent="0.25">
      <c r="A29" s="8" t="s">
        <v>384</v>
      </c>
      <c r="C29" s="41">
        <f>Database!$EX$4</f>
        <v>0</v>
      </c>
      <c r="D29" s="42">
        <f>D19</f>
        <v>0</v>
      </c>
      <c r="E29" s="40">
        <f>C29*D29</f>
        <v>0</v>
      </c>
    </row>
    <row r="30" spans="1:5" s="5" customFormat="1" ht="20.100000000000001" customHeight="1" x14ac:dyDescent="0.25">
      <c r="A30" s="8" t="s">
        <v>380</v>
      </c>
      <c r="C30" s="41">
        <f>Database!$EV$4</f>
        <v>0</v>
      </c>
      <c r="D30" s="42" t="e">
        <f>E30/C30</f>
        <v>#DIV/0!</v>
      </c>
      <c r="E30" s="40">
        <v>0</v>
      </c>
    </row>
    <row r="31" spans="1:5" s="5" customFormat="1" ht="20.100000000000001" customHeight="1" x14ac:dyDescent="0.25">
      <c r="A31" s="8" t="s">
        <v>381</v>
      </c>
      <c r="C31" s="41">
        <f>Database!$EW$4+Database!$EW$5</f>
        <v>0</v>
      </c>
      <c r="D31" s="42" t="e">
        <f>E31/C31</f>
        <v>#DIV/0!</v>
      </c>
      <c r="E31" s="40">
        <v>0</v>
      </c>
    </row>
    <row r="32" spans="1:5" s="5" customFormat="1" ht="20.100000000000001" customHeight="1" x14ac:dyDescent="0.25">
      <c r="A32" s="8" t="s">
        <v>382</v>
      </c>
      <c r="C32" s="41">
        <v>0</v>
      </c>
      <c r="D32" s="42">
        <v>0</v>
      </c>
      <c r="E32" s="40">
        <f>C32*D32</f>
        <v>0</v>
      </c>
    </row>
    <row r="33" spans="1:5" s="5" customFormat="1" ht="20.100000000000001" customHeight="1" x14ac:dyDescent="0.25">
      <c r="A33" s="8" t="s">
        <v>383</v>
      </c>
      <c r="C33" s="41">
        <v>0</v>
      </c>
      <c r="D33" s="42">
        <v>0</v>
      </c>
      <c r="E33" s="40">
        <f>C33*D33</f>
        <v>0</v>
      </c>
    </row>
    <row r="34" spans="1:5" s="8" customFormat="1" ht="20.100000000000001" customHeight="1" x14ac:dyDescent="0.25">
      <c r="C34" s="63"/>
      <c r="D34" s="64"/>
      <c r="E34" s="40"/>
    </row>
    <row r="35" spans="1:5" s="8" customFormat="1" ht="20.100000000000001" customHeight="1" thickBot="1" x14ac:dyDescent="0.3">
      <c r="A35" s="6" t="s">
        <v>387</v>
      </c>
      <c r="B35" s="6"/>
      <c r="C35" s="37">
        <f>SUM(C29:C33)</f>
        <v>0</v>
      </c>
      <c r="D35" s="43" t="e">
        <f>E35/C35</f>
        <v>#DIV/0!</v>
      </c>
      <c r="E35" s="37">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442</v>
      </c>
      <c r="B8" s="8" t="s">
        <v>440</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45" t="s">
        <v>316</v>
      </c>
      <c r="B14" s="8" t="s">
        <v>438</v>
      </c>
    </row>
    <row r="15" spans="1:2" ht="18" customHeight="1" x14ac:dyDescent="0.2"/>
    <row r="16" spans="1:2" ht="18" customHeight="1" x14ac:dyDescent="0.25">
      <c r="A16" s="546" t="s">
        <v>441</v>
      </c>
      <c r="B16" s="8" t="s">
        <v>439</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32" t="s">
        <v>429</v>
      </c>
    </row>
    <row r="2" spans="1:1" x14ac:dyDescent="0.2">
      <c r="A2" s="540" t="s">
        <v>434</v>
      </c>
    </row>
    <row r="3" spans="1:1" x14ac:dyDescent="0.2">
      <c r="A3" t="s">
        <v>430</v>
      </c>
    </row>
    <row r="4" spans="1:1" x14ac:dyDescent="0.2">
      <c r="A4" t="s">
        <v>431</v>
      </c>
    </row>
    <row r="5" spans="1:1" x14ac:dyDescent="0.2">
      <c r="A5" t="s">
        <v>432</v>
      </c>
    </row>
    <row r="6" spans="1:1" x14ac:dyDescent="0.2">
      <c r="A6" t="s">
        <v>405</v>
      </c>
    </row>
    <row r="7" spans="1:1" x14ac:dyDescent="0.2">
      <c r="A7" s="232" t="s">
        <v>406</v>
      </c>
    </row>
    <row r="8" spans="1:1" x14ac:dyDescent="0.2">
      <c r="A8" t="s">
        <v>437</v>
      </c>
    </row>
    <row r="10" spans="1:1" x14ac:dyDescent="0.2">
      <c r="A10" t="s">
        <v>433</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17" t="s">
        <v>402</v>
      </c>
      <c r="B2" s="123"/>
      <c r="C2" s="124"/>
      <c r="D2" s="125"/>
      <c r="E2" s="126"/>
      <c r="F2" s="117"/>
      <c r="G2" s="117"/>
      <c r="H2" s="116"/>
      <c r="I2" s="228"/>
    </row>
    <row r="3" spans="1:9" ht="15.75" x14ac:dyDescent="0.25">
      <c r="A3" s="117" t="s">
        <v>403</v>
      </c>
      <c r="B3" s="123"/>
      <c r="C3" s="124"/>
      <c r="D3" s="117"/>
      <c r="E3" s="126"/>
      <c r="F3" s="117"/>
      <c r="G3" s="117"/>
      <c r="H3" s="116"/>
      <c r="I3" s="127"/>
    </row>
    <row r="4" spans="1:9" ht="15.75" x14ac:dyDescent="0.25">
      <c r="A4" s="117" t="str">
        <f>"Dato: "</f>
        <v xml:space="preserve">Dato: </v>
      </c>
      <c r="D4" s="229"/>
      <c r="E4" s="229"/>
      <c r="G4" s="230"/>
      <c r="H4" s="230"/>
      <c r="I4" s="117"/>
    </row>
    <row r="5" spans="1:9" x14ac:dyDescent="0.2">
      <c r="A5" s="643">
        <f ca="1">NOW()</f>
        <v>45401.053953587965</v>
      </c>
      <c r="B5" s="644"/>
      <c r="C5" s="644"/>
      <c r="D5" s="644"/>
      <c r="E5" s="644"/>
    </row>
    <row r="6" spans="1:9" x14ac:dyDescent="0.2">
      <c r="B6" t="s">
        <v>404</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False</openByDefault>
  <xsnScope/>
</customXsn>
</file>

<file path=customXml/item2.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3.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4.xml><?xml version="1.0" encoding="utf-8"?>
<LongProperties xmlns="http://schemas.microsoft.com/office/2006/metadata/longProperties"/>
</file>

<file path=customXml/item5.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2.xml><?xml version="1.0" encoding="utf-8"?>
<ds:datastoreItem xmlns:ds="http://schemas.openxmlformats.org/officeDocument/2006/customXml" ds:itemID="{FA5E41D1-21A9-4F24-B709-E52F2D31AC71}">
  <ds:schemaRefs>
    <ds:schemaRef ds:uri="office.server.policy"/>
  </ds:schemaRefs>
</ds:datastoreItem>
</file>

<file path=customXml/itemProps3.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4.xml><?xml version="1.0" encoding="utf-8"?>
<ds:datastoreItem xmlns:ds="http://schemas.openxmlformats.org/officeDocument/2006/customXml" ds:itemID="{3F24BEB6-B3EE-4A02-8D91-66AD0F5C9EE7}">
  <ds:schemaRefs>
    <ds:schemaRef ds:uri="http://schemas.microsoft.com/office/2006/metadata/longProperties"/>
  </ds:schemaRefs>
</ds:datastoreItem>
</file>

<file path=customXml/itemProps5.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0BDBF330-CCB4-4AA1-A7EF-BF0264F6592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Database</vt:lpstr>
      <vt:lpstr>Revisjonsoversikt</vt:lpstr>
      <vt:lpstr>Framdriftsrapport</vt:lpstr>
      <vt:lpstr>Fargekoder</vt:lpstr>
      <vt:lpstr>Hjelp</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2024-04-24T18:25:22Z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