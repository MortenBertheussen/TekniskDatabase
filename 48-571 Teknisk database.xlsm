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Morten\Desktop\TdB\"/>
    </mc:Choice>
  </mc:AlternateContent>
  <xr:revisionPtr revIDLastSave="0" documentId="13_ncr:1_{5814378C-B250-46B1-B972-F4117B452CED}" xr6:coauthVersionLast="47" xr6:coauthVersionMax="47" xr10:uidLastSave="{00000000-0000-0000-0000-000000000000}"/>
  <bookViews>
    <workbookView xWindow="-38520" yWindow="-120" windowWidth="38640" windowHeight="21120" tabRatio="610" xr2:uid="{00000000-000D-0000-FFFF-FFFF00000000}"/>
  </bookViews>
  <sheets>
    <sheet name="Database" sheetId="1" r:id="rId1"/>
    <sheet name="Revisjonsoversikt" sheetId="2" r:id="rId2"/>
    <sheet name="Framdriftsrapport" sheetId="3" r:id="rId3"/>
    <sheet name="Fargekoder" sheetId="4" r:id="rId4"/>
    <sheet name="Hjelp" sheetId="8" r:id="rId5"/>
    <sheet name="Semantic" sheetId="9" r:id="rId6"/>
    <sheet name="Errors" sheetId="11" r:id="rId7"/>
    <sheet name="Mall Logo" sheetId="5" state="hidden" r:id="rId8"/>
  </sheets>
  <functionGroups builtInGroupCount="19"/>
  <externalReferences>
    <externalReference r:id="rId9"/>
  </externalReferences>
  <definedNames>
    <definedName name="_xlnm._FilterDatabase" localSheetId="0" hidden="1">Database!$A$10:$FD$56</definedName>
    <definedName name="_xleta.COLUMN" hidden="1" xlm="1">#NAME?</definedName>
    <definedName name="_xleta.COLUMNS" hidden="1" xlm="1">#NAME?</definedName>
    <definedName name="_xlnm.Print_Area" localSheetId="0">Database!$A:$ES</definedName>
    <definedName name="_xlnm.Print_Area" localSheetId="2">Framdriftsrapport!$A$1:$E$35</definedName>
    <definedName name="_xlnm.Print_Area" localSheetId="1">Revisjonsoversikt!$A:$G</definedName>
    <definedName name="_xlnm.Print_Titles" localSheetId="0">Database!$1:$10</definedName>
    <definedName name="_xlnm.Print_Titles" localSheetId="1">Revisjonsoversikt!$2:$2</definedName>
    <definedName name="Ytelse">Database!$P:$P</definedName>
    <definedName name="Z_18771FCB_E1C6_11D2_A5F8_00C04FCF3989_.wvu.Cols" localSheetId="0" hidden="1">Database!$J:$J,Database!$ET:$EX</definedName>
    <definedName name="Z_18771FCB_E1C6_11D2_A5F8_00C04FCF3989_.wvu.FilterData" localSheetId="0" hidden="1">Database!$A$10:$EX$10</definedName>
    <definedName name="Z_18771FCB_E1C6_11D2_A5F8_00C04FCF3989_.wvu.PrintArea" localSheetId="0" hidden="1">Database!$A:$EM</definedName>
    <definedName name="Z_18771FCB_E1C6_11D2_A5F8_00C04FCF3989_.wvu.PrintArea" localSheetId="1" hidden="1">Revisjonsoversikt!$A:$F</definedName>
    <definedName name="Z_18771FCB_E1C6_11D2_A5F8_00C04FCF3989_.wvu.PrintTitles" localSheetId="0" hidden="1">Database!$2:$10</definedName>
    <definedName name="Z_18771FCB_E1C6_11D2_A5F8_00C04FCF3989_.wvu.PrintTitles" localSheetId="1" hidden="1">Revisjonsoversikt!$2:$2</definedName>
  </definedNames>
  <calcPr calcId="191029"/>
  <customWorkbookViews>
    <customWorkbookView name="Gunnar Blikstad - Personal View" guid="{18771FCB-E1C6-11D2-A5F8-00C04FCF3989}" mergeInterval="0" personalView="1" maximized="1" windowWidth="994" windowHeight="579" tabRatio="610" activeSheetId="1"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17" i="1" l="1"/>
  <c r="AI17" i="1" s="1"/>
  <c r="AH16" i="1"/>
  <c r="AI16" i="1" s="1"/>
  <c r="AH15" i="1"/>
  <c r="AI15" i="1" s="1"/>
  <c r="AH13" i="1"/>
  <c r="AI13" i="1" s="1"/>
  <c r="AH12" i="1"/>
  <c r="AI12" i="1" s="1"/>
  <c r="AH19" i="1"/>
  <c r="AI19" i="1" s="1"/>
  <c r="AH18" i="1"/>
  <c r="AI18" i="1" s="1"/>
  <c r="AH14" i="1"/>
  <c r="AI14" i="1" s="1"/>
  <c r="EX100" i="1"/>
  <c r="ET100" i="1"/>
  <c r="EV100" i="1" s="1"/>
  <c r="AH100" i="1"/>
  <c r="AI100" i="1" s="1"/>
  <c r="EX99" i="1"/>
  <c r="ET99" i="1"/>
  <c r="EV99" i="1" s="1"/>
  <c r="AH99" i="1"/>
  <c r="AI99" i="1" s="1"/>
  <c r="EX98" i="1"/>
  <c r="ET98" i="1"/>
  <c r="EV98" i="1" s="1"/>
  <c r="AH98" i="1"/>
  <c r="AI98" i="1" s="1"/>
  <c r="EX97" i="1"/>
  <c r="EV97" i="1"/>
  <c r="ET97" i="1"/>
  <c r="AH97" i="1"/>
  <c r="AI97" i="1" s="1"/>
  <c r="EX96" i="1"/>
  <c r="ET96" i="1"/>
  <c r="EV96" i="1" s="1"/>
  <c r="AH96" i="1"/>
  <c r="AI96" i="1" s="1"/>
  <c r="EX95" i="1"/>
  <c r="ET95" i="1"/>
  <c r="EV95" i="1" s="1"/>
  <c r="AH95" i="1"/>
  <c r="AI95" i="1" s="1"/>
  <c r="EX94" i="1"/>
  <c r="EV94" i="1"/>
  <c r="ET94" i="1"/>
  <c r="AH94" i="1"/>
  <c r="AI94" i="1" s="1"/>
  <c r="EX93" i="1"/>
  <c r="ET93" i="1"/>
  <c r="EV93" i="1" s="1"/>
  <c r="AH93" i="1"/>
  <c r="AI93" i="1" s="1"/>
  <c r="EX92" i="1"/>
  <c r="ET92" i="1"/>
  <c r="EV92" i="1" s="1"/>
  <c r="AH92" i="1"/>
  <c r="AI92" i="1" s="1"/>
  <c r="EX91" i="1"/>
  <c r="ET91" i="1"/>
  <c r="EV91" i="1" s="1"/>
  <c r="AI91" i="1"/>
  <c r="AH91" i="1"/>
  <c r="EX90" i="1"/>
  <c r="ET90" i="1"/>
  <c r="EV90" i="1" s="1"/>
  <c r="AH90" i="1"/>
  <c r="AI90" i="1" s="1"/>
  <c r="EX89" i="1"/>
  <c r="ET89" i="1"/>
  <c r="EV89" i="1" s="1"/>
  <c r="AH89" i="1"/>
  <c r="AI89" i="1" s="1"/>
  <c r="EX88" i="1"/>
  <c r="ET88" i="1"/>
  <c r="EV88" i="1" s="1"/>
  <c r="AI88" i="1"/>
  <c r="AH88" i="1"/>
  <c r="EX87" i="1"/>
  <c r="EV87" i="1"/>
  <c r="ET87" i="1"/>
  <c r="AH87" i="1"/>
  <c r="AI87" i="1" s="1"/>
  <c r="EX86" i="1"/>
  <c r="ET86" i="1"/>
  <c r="EV86" i="1" s="1"/>
  <c r="AH86" i="1"/>
  <c r="AI86" i="1" s="1"/>
  <c r="EX85" i="1"/>
  <c r="ET85" i="1"/>
  <c r="EV85" i="1" s="1"/>
  <c r="AH85" i="1"/>
  <c r="AI85" i="1" s="1"/>
  <c r="EX84" i="1"/>
  <c r="ET84" i="1"/>
  <c r="EV84" i="1" s="1"/>
  <c r="AH84" i="1"/>
  <c r="AI84" i="1" s="1"/>
  <c r="EX83" i="1"/>
  <c r="ET83" i="1"/>
  <c r="EV83" i="1" s="1"/>
  <c r="AH83" i="1"/>
  <c r="AI83" i="1" s="1"/>
  <c r="EX82" i="1"/>
  <c r="ET82" i="1"/>
  <c r="EV82" i="1" s="1"/>
  <c r="AH82" i="1"/>
  <c r="AI82" i="1" s="1"/>
  <c r="EX81" i="1"/>
  <c r="EV81" i="1"/>
  <c r="ET81" i="1"/>
  <c r="AI81" i="1"/>
  <c r="AH81" i="1"/>
  <c r="EX80" i="1"/>
  <c r="ET80" i="1"/>
  <c r="EV80" i="1" s="1"/>
  <c r="AH80" i="1"/>
  <c r="AI80" i="1" s="1"/>
  <c r="EX79" i="1"/>
  <c r="ET79" i="1"/>
  <c r="EV79" i="1" s="1"/>
  <c r="AH79" i="1"/>
  <c r="AI79" i="1" s="1"/>
  <c r="EX78" i="1"/>
  <c r="ET78" i="1"/>
  <c r="EV78" i="1" s="1"/>
  <c r="AH78" i="1"/>
  <c r="AI78" i="1" s="1"/>
  <c r="EX77" i="1"/>
  <c r="ET77" i="1"/>
  <c r="EV77" i="1" s="1"/>
  <c r="AH77" i="1"/>
  <c r="AI77" i="1" s="1"/>
  <c r="EX76" i="1"/>
  <c r="ET76" i="1"/>
  <c r="EV76" i="1" s="1"/>
  <c r="AH76" i="1"/>
  <c r="AI76" i="1" s="1"/>
  <c r="EX75" i="1"/>
  <c r="ET75" i="1"/>
  <c r="EV75" i="1" s="1"/>
  <c r="AH75" i="1"/>
  <c r="AI75" i="1" s="1"/>
  <c r="EX74" i="1"/>
  <c r="ET74" i="1"/>
  <c r="EV74" i="1" s="1"/>
  <c r="AH74" i="1"/>
  <c r="AI74" i="1" s="1"/>
  <c r="EX73" i="1"/>
  <c r="ET73" i="1"/>
  <c r="EV73" i="1" s="1"/>
  <c r="AH73" i="1"/>
  <c r="AI73" i="1" s="1"/>
  <c r="EX72" i="1"/>
  <c r="ET72" i="1"/>
  <c r="EV72" i="1" s="1"/>
  <c r="AH72" i="1"/>
  <c r="AI72" i="1" s="1"/>
  <c r="EX71" i="1"/>
  <c r="ET71" i="1"/>
  <c r="EV71" i="1" s="1"/>
  <c r="AH71" i="1"/>
  <c r="AI71" i="1" s="1"/>
  <c r="EX70" i="1"/>
  <c r="ET70" i="1"/>
  <c r="EV70" i="1" s="1"/>
  <c r="AH70" i="1"/>
  <c r="AI70" i="1" s="1"/>
  <c r="EX69" i="1"/>
  <c r="ET69" i="1"/>
  <c r="EV69" i="1" s="1"/>
  <c r="AH69" i="1"/>
  <c r="AI69" i="1" s="1"/>
  <c r="EX68" i="1"/>
  <c r="EV68" i="1"/>
  <c r="ET68" i="1"/>
  <c r="AH68" i="1"/>
  <c r="AI68" i="1" s="1"/>
  <c r="EX67" i="1"/>
  <c r="ET67" i="1"/>
  <c r="EV67" i="1" s="1"/>
  <c r="AH67" i="1"/>
  <c r="AI67" i="1" s="1"/>
  <c r="EX66" i="1"/>
  <c r="ET66" i="1"/>
  <c r="EV66" i="1" s="1"/>
  <c r="AH66" i="1"/>
  <c r="AI66" i="1" s="1"/>
  <c r="EX65" i="1"/>
  <c r="EV65" i="1"/>
  <c r="ET65" i="1"/>
  <c r="AH65" i="1"/>
  <c r="AI65" i="1" s="1"/>
  <c r="EX64" i="1"/>
  <c r="ET64" i="1"/>
  <c r="EV64" i="1" s="1"/>
  <c r="AH64" i="1"/>
  <c r="AI64" i="1" s="1"/>
  <c r="EX63" i="1"/>
  <c r="ET63" i="1"/>
  <c r="EV63" i="1" s="1"/>
  <c r="AH63" i="1"/>
  <c r="AI63" i="1" s="1"/>
  <c r="EX62" i="1"/>
  <c r="EV62" i="1"/>
  <c r="ET62" i="1"/>
  <c r="AI62" i="1"/>
  <c r="AH62" i="1"/>
  <c r="EX61" i="1"/>
  <c r="ET61" i="1"/>
  <c r="EV61" i="1" s="1"/>
  <c r="AH61" i="1"/>
  <c r="AI61" i="1" s="1"/>
  <c r="EX60" i="1"/>
  <c r="ET60" i="1"/>
  <c r="EV60" i="1" s="1"/>
  <c r="AH60" i="1"/>
  <c r="AI60" i="1" s="1"/>
  <c r="EX59" i="1"/>
  <c r="ET59" i="1"/>
  <c r="EV59" i="1" s="1"/>
  <c r="AI59" i="1"/>
  <c r="AH59" i="1"/>
  <c r="EX58" i="1"/>
  <c r="ET58" i="1"/>
  <c r="EV58" i="1" s="1"/>
  <c r="AH58" i="1"/>
  <c r="AI58" i="1" s="1"/>
  <c r="EX57" i="1"/>
  <c r="ET57" i="1"/>
  <c r="EV57" i="1" s="1"/>
  <c r="AH57" i="1"/>
  <c r="AI57" i="1" s="1"/>
  <c r="EX56" i="1"/>
  <c r="ET56" i="1"/>
  <c r="EV56" i="1" s="1"/>
  <c r="AI56" i="1"/>
  <c r="AH56" i="1"/>
  <c r="EX55" i="1"/>
  <c r="ET55" i="1"/>
  <c r="EV55" i="1" s="1"/>
  <c r="AH55" i="1"/>
  <c r="AI55" i="1" s="1"/>
  <c r="EX54" i="1"/>
  <c r="ET54" i="1"/>
  <c r="EV54" i="1" s="1"/>
  <c r="AH54" i="1"/>
  <c r="AI54" i="1" s="1"/>
  <c r="EX53" i="1"/>
  <c r="ET53" i="1"/>
  <c r="EV53" i="1" s="1"/>
  <c r="AH53" i="1"/>
  <c r="AI53" i="1" s="1"/>
  <c r="EX52" i="1"/>
  <c r="ET52" i="1"/>
  <c r="EV52" i="1" s="1"/>
  <c r="AH52" i="1"/>
  <c r="AI52" i="1" s="1"/>
  <c r="EX51" i="1"/>
  <c r="ET51" i="1"/>
  <c r="EV51" i="1" s="1"/>
  <c r="AH51" i="1"/>
  <c r="AI51" i="1" s="1"/>
  <c r="EX50" i="1"/>
  <c r="ET50" i="1"/>
  <c r="EV50" i="1" s="1"/>
  <c r="AH50" i="1"/>
  <c r="AI50" i="1" s="1"/>
  <c r="EX49" i="1"/>
  <c r="ET49" i="1"/>
  <c r="EV49" i="1" s="1"/>
  <c r="AI49" i="1"/>
  <c r="AH49" i="1"/>
  <c r="EX48" i="1"/>
  <c r="ET48" i="1"/>
  <c r="EV48" i="1" s="1"/>
  <c r="AH48" i="1"/>
  <c r="AI48" i="1" s="1"/>
  <c r="EX47" i="1"/>
  <c r="ET47" i="1"/>
  <c r="EV47" i="1" s="1"/>
  <c r="AH47" i="1"/>
  <c r="AI47" i="1" s="1"/>
  <c r="EX46" i="1"/>
  <c r="ET46" i="1"/>
  <c r="EV46" i="1" s="1"/>
  <c r="AH46" i="1"/>
  <c r="AI46" i="1" s="1"/>
  <c r="EX45" i="1"/>
  <c r="ET45" i="1"/>
  <c r="EV45" i="1" s="1"/>
  <c r="AH45" i="1"/>
  <c r="AI45" i="1" s="1"/>
  <c r="EX44" i="1"/>
  <c r="ET44" i="1"/>
  <c r="EV44" i="1" s="1"/>
  <c r="AH44" i="1"/>
  <c r="AI44" i="1" s="1"/>
  <c r="EX43" i="1"/>
  <c r="ET43" i="1"/>
  <c r="EV43" i="1" s="1"/>
  <c r="AH43" i="1"/>
  <c r="AI43" i="1" s="1"/>
  <c r="EX42" i="1"/>
  <c r="ET42" i="1"/>
  <c r="EV42" i="1" s="1"/>
  <c r="AH42" i="1"/>
  <c r="AI42" i="1" s="1"/>
  <c r="EX41" i="1"/>
  <c r="ET41" i="1"/>
  <c r="EV41" i="1" s="1"/>
  <c r="AH41" i="1"/>
  <c r="AI41" i="1" s="1"/>
  <c r="EX40" i="1"/>
  <c r="ET40" i="1"/>
  <c r="EV40" i="1" s="1"/>
  <c r="AH40" i="1"/>
  <c r="AI40" i="1" s="1"/>
  <c r="EX39" i="1"/>
  <c r="ET39" i="1"/>
  <c r="EV39" i="1" s="1"/>
  <c r="AH39" i="1"/>
  <c r="AI39" i="1" s="1"/>
  <c r="EX38" i="1"/>
  <c r="ET38" i="1"/>
  <c r="EV38" i="1" s="1"/>
  <c r="AH38" i="1"/>
  <c r="AI38" i="1" s="1"/>
  <c r="EX37" i="1"/>
  <c r="ET37" i="1"/>
  <c r="EV37" i="1" s="1"/>
  <c r="AH37" i="1"/>
  <c r="AI37" i="1" s="1"/>
  <c r="EX36" i="1"/>
  <c r="EV36" i="1"/>
  <c r="ET36" i="1"/>
  <c r="AH36" i="1"/>
  <c r="AI36" i="1" s="1"/>
  <c r="EX35" i="1"/>
  <c r="ET35" i="1"/>
  <c r="EV35" i="1" s="1"/>
  <c r="AH35" i="1"/>
  <c r="AI35" i="1" s="1"/>
  <c r="EX34" i="1"/>
  <c r="ET34" i="1"/>
  <c r="EV34" i="1" s="1"/>
  <c r="AH34" i="1"/>
  <c r="AI34" i="1" s="1"/>
  <c r="EX33" i="1"/>
  <c r="EV33" i="1"/>
  <c r="ET33" i="1"/>
  <c r="AH33" i="1"/>
  <c r="AI33" i="1" s="1"/>
  <c r="EX32" i="1"/>
  <c r="ET32" i="1"/>
  <c r="EV32" i="1" s="1"/>
  <c r="AH32" i="1"/>
  <c r="AI32" i="1" s="1"/>
  <c r="EX31" i="1"/>
  <c r="ET31" i="1"/>
  <c r="EV31" i="1" s="1"/>
  <c r="AH31" i="1"/>
  <c r="AI31" i="1" s="1"/>
  <c r="EX30" i="1"/>
  <c r="EV30" i="1"/>
  <c r="ET30" i="1"/>
  <c r="AI30" i="1"/>
  <c r="AH30" i="1"/>
  <c r="EX29" i="1"/>
  <c r="ET29" i="1"/>
  <c r="EV29" i="1" s="1"/>
  <c r="AH29" i="1"/>
  <c r="AI29" i="1" s="1"/>
  <c r="EX28" i="1"/>
  <c r="ET28" i="1"/>
  <c r="EV28" i="1" s="1"/>
  <c r="AH28" i="1"/>
  <c r="AI28" i="1" s="1"/>
  <c r="EX27" i="1"/>
  <c r="ET27" i="1"/>
  <c r="EV27" i="1" s="1"/>
  <c r="AI27" i="1"/>
  <c r="AH27" i="1"/>
  <c r="EX26" i="1"/>
  <c r="ET26" i="1"/>
  <c r="EV26" i="1" s="1"/>
  <c r="AH26" i="1"/>
  <c r="AI26" i="1" s="1"/>
  <c r="EX25" i="1"/>
  <c r="ET25" i="1"/>
  <c r="EV25" i="1" s="1"/>
  <c r="AH25" i="1"/>
  <c r="AI25" i="1" s="1"/>
  <c r="EX24" i="1"/>
  <c r="ET24" i="1"/>
  <c r="EV24" i="1" s="1"/>
  <c r="AI24" i="1"/>
  <c r="AH24" i="1"/>
  <c r="EX23" i="1"/>
  <c r="EV23" i="1"/>
  <c r="ET23" i="1"/>
  <c r="AH23" i="1"/>
  <c r="AI23" i="1" s="1"/>
  <c r="EX22" i="1"/>
  <c r="ET22" i="1"/>
  <c r="EV22" i="1" s="1"/>
  <c r="AH22" i="1"/>
  <c r="AI22" i="1" s="1"/>
  <c r="EX21" i="1"/>
  <c r="ET21" i="1"/>
  <c r="EV21" i="1" s="1"/>
  <c r="AH21" i="1"/>
  <c r="AI21" i="1" s="1"/>
  <c r="EX20" i="1"/>
  <c r="ET20" i="1"/>
  <c r="EV20" i="1" s="1"/>
  <c r="AH20" i="1"/>
  <c r="AI20" i="1" s="1"/>
  <c r="EX19" i="1"/>
  <c r="ET19" i="1"/>
  <c r="EV19" i="1" s="1"/>
  <c r="EX18" i="1"/>
  <c r="ET18" i="1"/>
  <c r="EV18" i="1" s="1"/>
  <c r="EX17" i="1"/>
  <c r="ET17" i="1"/>
  <c r="EV17" i="1" s="1"/>
  <c r="EX16" i="1"/>
  <c r="ET16" i="1"/>
  <c r="EV16" i="1" s="1"/>
  <c r="EX15" i="1"/>
  <c r="ET15" i="1"/>
  <c r="EV15" i="1" s="1"/>
  <c r="EX14" i="1"/>
  <c r="ET14" i="1"/>
  <c r="EV14" i="1" s="1"/>
  <c r="EX13" i="1"/>
  <c r="ET13" i="1"/>
  <c r="EV13" i="1" s="1"/>
  <c r="EX12" i="1"/>
  <c r="ET12" i="1"/>
  <c r="EV12" i="1" s="1"/>
  <c r="EX11" i="1"/>
  <c r="EX4" i="1" s="1"/>
  <c r="ET11" i="1"/>
  <c r="ET9" i="1" s="1"/>
  <c r="AS8" i="1" s="1"/>
  <c r="AH11" i="1"/>
  <c r="AI11" i="1" s="1"/>
  <c r="BQ8" i="1"/>
  <c r="BP8" i="1"/>
  <c r="BO8" i="1"/>
  <c r="BN8" i="1"/>
  <c r="BM8" i="1"/>
  <c r="BL8" i="1"/>
  <c r="BH8" i="1"/>
  <c r="AW8" i="1"/>
  <c r="AV8" i="1"/>
  <c r="EK5" i="1"/>
  <c r="EH5" i="1"/>
  <c r="DU5" i="1"/>
  <c r="DI5" i="1"/>
  <c r="DA5" i="1"/>
  <c r="L5" i="1"/>
  <c r="G5" i="1"/>
  <c r="B5" i="3" s="1"/>
  <c r="EW4" i="1"/>
  <c r="EW5" i="1" s="1"/>
  <c r="BQ4" i="1"/>
  <c r="BP4" i="1"/>
  <c r="BN4" i="1"/>
  <c r="BM4" i="1"/>
  <c r="BJ4" i="1"/>
  <c r="BI4" i="1"/>
  <c r="EV3" i="1"/>
  <c r="A5" i="5"/>
  <c r="A4" i="5"/>
  <c r="E32" i="3"/>
  <c r="E33" i="3"/>
  <c r="C19" i="3"/>
  <c r="A3" i="3"/>
  <c r="C3" i="3"/>
  <c r="A4" i="3"/>
  <c r="C4" i="3"/>
  <c r="D4" i="3"/>
  <c r="A5" i="3"/>
  <c r="C5" i="3"/>
  <c r="G1" i="2"/>
  <c r="E1" i="2"/>
  <c r="A1" i="2"/>
  <c r="EV11" i="1" l="1"/>
  <c r="EV4" i="1" s="1"/>
  <c r="EX6" i="1" s="1"/>
  <c r="C31" i="3"/>
  <c r="D31" i="3" s="1"/>
  <c r="D16" i="3"/>
  <c r="D17" i="3"/>
  <c r="D14" i="3"/>
  <c r="D13" i="3"/>
  <c r="D5" i="3"/>
  <c r="D15" i="3"/>
  <c r="C29" i="3"/>
  <c r="D19" i="3" l="1"/>
  <c r="D29" i="3" s="1"/>
  <c r="E29" i="3" s="1"/>
  <c r="E35" i="3" s="1"/>
  <c r="C30" i="3"/>
  <c r="D30" i="3" l="1"/>
  <c r="C35" i="3"/>
  <c r="D3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Gunnar Blikstad</author>
    <author>GK</author>
  </authors>
  <commentList>
    <comment ref="B3" authorId="0" shapeId="0" xr:uid="{261F2DD5-A759-459D-82BD-75FD764291E2}">
      <text>
        <r>
          <rPr>
            <sz val="8"/>
            <color indexed="81"/>
            <rFont val="Tahoma"/>
            <family val="2"/>
          </rPr>
          <t>NAVN</t>
        </r>
      </text>
    </comment>
    <comment ref="K3" authorId="0" shapeId="0" xr:uid="{3D6FA9B5-9605-4FAD-A0EC-877DDDA1133B}">
      <text>
        <r>
          <rPr>
            <sz val="8"/>
            <color indexed="81"/>
            <rFont val="Tahoma"/>
            <family val="2"/>
          </rPr>
          <t>ANLEGG</t>
        </r>
      </text>
    </comment>
    <comment ref="BZ3" authorId="1" shapeId="0" xr:uid="{C07EF229-D1AC-4C40-A9D1-B056D8B9FF10}">
      <text>
        <r>
          <rPr>
            <b/>
            <sz val="8"/>
            <color indexed="81"/>
            <rFont val="Tahoma"/>
            <family val="2"/>
          </rPr>
          <t>GK:
Egen Tdb for SD sentral og integrasjon?</t>
        </r>
        <r>
          <rPr>
            <sz val="8"/>
            <color indexed="81"/>
            <rFont val="Tahoma"/>
            <family val="2"/>
          </rPr>
          <t xml:space="preserve">
</t>
        </r>
      </text>
    </comment>
    <comment ref="B4" authorId="0" shapeId="0" xr:uid="{2E147B7F-6B46-4AC5-BD6D-97E5C72EDE79}">
      <text>
        <r>
          <rPr>
            <sz val="8"/>
            <color indexed="81"/>
            <rFont val="Tahoma"/>
            <family val="2"/>
          </rPr>
          <t>JOBBNUMMER</t>
        </r>
      </text>
    </comment>
    <comment ref="EV5" authorId="0" shapeId="0" xr:uid="{88033E24-1651-4A5E-91BD-3AB1E1D16308}">
      <text>
        <r>
          <rPr>
            <b/>
            <sz val="8"/>
            <color indexed="81"/>
            <rFont val="Tahoma"/>
            <family val="2"/>
          </rPr>
          <t>Gunnar Blikstad:</t>
        </r>
        <r>
          <rPr>
            <sz val="8"/>
            <color indexed="81"/>
            <rFont val="Tahoma"/>
            <family val="2"/>
          </rPr>
          <t xml:space="preserve">
Påslag i prosent</t>
        </r>
      </text>
    </comment>
    <comment ref="O7" authorId="1" shapeId="0" xr:uid="{3929EA3E-B76E-40F4-893C-F30F30B8F599}">
      <text>
        <r>
          <rPr>
            <b/>
            <sz val="8"/>
            <color indexed="81"/>
            <rFont val="Tahoma"/>
            <family val="2"/>
          </rPr>
          <t>F.eks. akse nr.</t>
        </r>
      </text>
    </comment>
    <comment ref="EX8" authorId="0" shapeId="0" xr:uid="{9C583BAA-702C-448B-97D6-5A0B30EBAD72}">
      <text>
        <r>
          <rPr>
            <b/>
            <sz val="8"/>
            <color indexed="81"/>
            <rFont val="Tahoma"/>
            <family val="2"/>
          </rPr>
          <t>Gunnar Blikstad:</t>
        </r>
        <r>
          <rPr>
            <sz val="8"/>
            <color indexed="81"/>
            <rFont val="Tahoma"/>
            <family val="2"/>
          </rPr>
          <t xml:space="preserve">
Parametreringspris
pr I/O</t>
        </r>
      </text>
    </comment>
  </commentList>
</comments>
</file>

<file path=xl/sharedStrings.xml><?xml version="1.0" encoding="utf-8"?>
<sst xmlns="http://schemas.openxmlformats.org/spreadsheetml/2006/main" count="1699" uniqueCount="496">
  <si>
    <t>Utført i  komponentbase Dato/Sign.:</t>
  </si>
  <si>
    <t>KS reversert fra fase nr.</t>
  </si>
  <si>
    <t>Konsekvens / kommentar</t>
  </si>
  <si>
    <t>Rev. nr.:</t>
  </si>
  <si>
    <t>Vekting</t>
  </si>
  <si>
    <t>Forprosjekt (CDR)</t>
  </si>
  <si>
    <t>Detaljprosjekt (FDR)</t>
  </si>
  <si>
    <t>Produksjon og installasjon (FAT)</t>
  </si>
  <si>
    <t>Oppstart og innregulering (SAT)</t>
  </si>
  <si>
    <t>Sluttest (VAL)</t>
  </si>
  <si>
    <t>Fyllfarger i databaseceller har følgende betydning:</t>
  </si>
  <si>
    <t>Grå</t>
  </si>
  <si>
    <t>Lys grønn</t>
  </si>
  <si>
    <t>Gul</t>
  </si>
  <si>
    <t>Data må oppgis / bekreftes av entrepenør</t>
  </si>
  <si>
    <t>Rød</t>
  </si>
  <si>
    <t>Kvittering fra entrepenør på oppgitte / bekreftede data</t>
  </si>
  <si>
    <t>Lys blå</t>
  </si>
  <si>
    <t>OBS !  Viktig melding</t>
  </si>
  <si>
    <t xml:space="preserve">Endring! Kontrolleres og oppgis / bekreftes av entrepenør </t>
  </si>
  <si>
    <t>System- / objektnavn og Endringsbeskrivelse</t>
  </si>
  <si>
    <t>Endrings-liste nr.</t>
  </si>
  <si>
    <t>Økonomisk ivaretatt ?</t>
  </si>
  <si>
    <t>Statusrapport:</t>
  </si>
  <si>
    <t>Eget utstyr</t>
  </si>
  <si>
    <t>Ekstent utstyr</t>
  </si>
  <si>
    <t>Tavler</t>
  </si>
  <si>
    <t>Underleverandører</t>
  </si>
  <si>
    <t>Arbeid</t>
  </si>
  <si>
    <t>Kontraktssum</t>
  </si>
  <si>
    <t>Produsert</t>
  </si>
  <si>
    <t>TOTALT</t>
  </si>
  <si>
    <t>Uført %</t>
  </si>
  <si>
    <t>Utført %</t>
  </si>
  <si>
    <t>Arbeid:</t>
  </si>
  <si>
    <t>Arbeid totalt</t>
  </si>
  <si>
    <t>Teknisk DataBase</t>
  </si>
  <si>
    <t>Nye Ahus Bygg B1</t>
  </si>
  <si>
    <t>6771 Automasjon         Kontrakt:2801001</t>
  </si>
  <si>
    <t xml:space="preserve"> </t>
  </si>
  <si>
    <r>
      <t xml:space="preserve">Det er laget en rapportfunksjon </t>
    </r>
    <r>
      <rPr>
        <b/>
        <sz val="10"/>
        <rFont val="Arial"/>
        <family val="2"/>
      </rPr>
      <t>RAPPORT</t>
    </r>
    <r>
      <rPr>
        <sz val="10"/>
        <rFont val="Arial"/>
        <family val="2"/>
      </rPr>
      <t xml:space="preserve"> som tar det man har av vist data på første ark og sender dette med samme formatering til et nytt ark som er kalt </t>
    </r>
    <r>
      <rPr>
        <b/>
        <sz val="10"/>
        <rFont val="Arial"/>
        <family val="2"/>
      </rPr>
      <t>Mall logo (x)</t>
    </r>
    <r>
      <rPr>
        <sz val="10"/>
        <rFont val="Arial"/>
        <family val="2"/>
      </rPr>
      <t xml:space="preserve"> </t>
    </r>
  </si>
  <si>
    <r>
      <t>x</t>
    </r>
    <r>
      <rPr>
        <sz val="10"/>
        <rFont val="Arial"/>
        <family val="2"/>
      </rPr>
      <t xml:space="preserve"> telles opp for hver gang </t>
    </r>
    <r>
      <rPr>
        <b/>
        <sz val="10"/>
        <rFont val="Arial"/>
        <family val="2"/>
      </rPr>
      <t>Rapport</t>
    </r>
    <r>
      <rPr>
        <sz val="10"/>
        <rFont val="Arial"/>
        <family val="2"/>
      </rPr>
      <t xml:space="preserve">  er trykket slik at man kan kjøre ut flere forskjellige rapporter å lagre disse på hvert sitt ark. Navn på ark :Mall logo(x) bør endres av deg til et fornuftig navn på din rapport</t>
    </r>
  </si>
  <si>
    <r>
      <t xml:space="preserve">Vis Enkel / Vis Avansert </t>
    </r>
    <r>
      <rPr>
        <sz val="10"/>
        <rFont val="Arial"/>
        <family val="2"/>
      </rPr>
      <t xml:space="preserve">knapp på første ark henter opp en form med diverse knapper. Knappene påkaller makroer i arket som skjuler kolonner som ikke er aktuelle for valget </t>
    </r>
  </si>
  <si>
    <t>Man filtrerer (Autofilter) den informasjon man ønsker i første ark, og så kjøres ønsket knapp(makro).</t>
  </si>
  <si>
    <r>
      <t xml:space="preserve">For å oppheve alle filtere velge knapp </t>
    </r>
    <r>
      <rPr>
        <b/>
        <sz val="10"/>
        <rFont val="Arial"/>
        <family val="2"/>
      </rPr>
      <t>Filter Av</t>
    </r>
  </si>
  <si>
    <r>
      <t xml:space="preserve">For å vise alle kolonner igjen etter at et valg er utført kan </t>
    </r>
    <r>
      <rPr>
        <b/>
        <sz val="10"/>
        <rFont val="Arial"/>
        <family val="2"/>
      </rPr>
      <t>Vis Alle</t>
    </r>
    <r>
      <rPr>
        <sz val="10"/>
        <rFont val="Arial"/>
        <family val="2"/>
      </rPr>
      <t xml:space="preserve"> kjøres.</t>
    </r>
  </si>
  <si>
    <t>For Teknisk Database Enkel er det laget en egen brukermanual. Denne finnes i Kvalsys.</t>
  </si>
  <si>
    <t>Enkel kan benyttes for mindre jobber. Data utfylt i enkel visning vil forsatt ligge der hvis man senere ønsker å benytte funksjoner i Avansert visning.</t>
  </si>
  <si>
    <t>For utskrift må ønsket utskriftsformat velges. Dette formaterer utskriften. Deretter må ønsket skriver velges og øvrige valg for sideantall ol. på vanlig måte i skriveroppsettet.</t>
  </si>
  <si>
    <t>Kolonner som nesten alltid skal fylles ut. Er med i Enkel visning.</t>
  </si>
  <si>
    <t>Kolonner som ikke alltid er nødvendig å fylles ut. Er med i Avansert visning.</t>
  </si>
  <si>
    <r>
      <t xml:space="preserve">Oppgitte / bekreftede data er tatt i bruk av </t>
    </r>
    <r>
      <rPr>
        <sz val="14"/>
        <rFont val="Arial Black"/>
        <family val="2"/>
      </rPr>
      <t>GK NORGE AS.</t>
    </r>
  </si>
  <si>
    <t>Lys gul</t>
  </si>
  <si>
    <t>Grønn</t>
  </si>
  <si>
    <t>Major</t>
  </si>
  <si>
    <t>Minor</t>
  </si>
  <si>
    <t>Patch</t>
  </si>
  <si>
    <t>Comment</t>
  </si>
  <si>
    <t>Solve the problem with onedrive syncronization e.g. current directory compatibility.</t>
  </si>
  <si>
    <t>Stabile prototype.</t>
  </si>
  <si>
    <t xml:space="preserve">Refactor code to make sure it's compliant for all worksheets, by prompting the user for input. </t>
  </si>
  <si>
    <t>createFileFromDirectory C:\Users\Morten\Desktop\TdB\SourceDirectory\datablad\.pdf File not found VBAProject</t>
  </si>
  <si>
    <t>createFileFromDirectory C:\Users\Morten\Desktop\TdB\SourceDirectory\datablad\VPEL 1.0/2.5.pdf Path not found VBAProject</t>
  </si>
  <si>
    <t>createFileFromDirectory C:\Users\Morten\Desktop\TdB\SourceDirectory\Installasjonsmanualer\Spjeldventil PA-GF.pdf File not found VBAProject</t>
  </si>
  <si>
    <t>createFileFromDirectory C:\Users\Morten\Desktop\TdB\SourceDirectory\Installasjonsmanualer\QBE2003-P2.5.pdf File not found VBAProject</t>
  </si>
  <si>
    <t>createFileFromDirectory C:\Users\Morten\Desktop\TdB\SourceDirectory\Installasjonsmanualer\SITRANS FM MAG 5100W.pdf File not found VBAProject</t>
  </si>
  <si>
    <t>createFileFromDirectory C:\Users\Morten\Desktop\TdB\SourceDirectory\Installasjonsmanualer\Spjeldventil DN150.pdf File not found VBAProject</t>
  </si>
  <si>
    <t>createFileFromDirectory C:\Users\Morten\Desktop\TdB\SourceDirectory\Installasjonsmanualer\Spjeldventil DN100.pdf File not found VBAProject</t>
  </si>
  <si>
    <t>createFileFromDirectory C:\Users\Morten\Desktop\TdB\SourceDirectory\Installasjonsmanualer\VVA2.pdf File not found VBAProject</t>
  </si>
  <si>
    <t>createFileFromDirectory C:\Users\Morten\Desktop\TdB\SourceDirectory\Installasjonsmanualer\VVK2.pdf File not found VBAProject</t>
  </si>
  <si>
    <t>createFileFromDirectory C:\Users\Morten\Desktop\TdB\SourceDirectory\Installasjonsmanualer\.pdf File not found VBAProject</t>
  </si>
  <si>
    <t>createFileFromDirectory C:\Users\Morten\Desktop\TdB\SourceDirectory\Installasjonsmanualer\VPEL 1.0/2.5.pdf Path not found VBAProject</t>
  </si>
  <si>
    <t>createFileFromDirectory C:\Users\Morten\Desktop\TdB\SourceDirectory\Installasjonsmanualer\Spjeldventil DN125.pdf File not found VBAProject</t>
  </si>
  <si>
    <t>createFileFromDirectory C:\Users\Morten\Desktop\TdB\SourceDirectory\Modbus\Spjeldventil PA-GF.pdf File not found VBAProject</t>
  </si>
  <si>
    <t>createFileFromDirectory C:\Users\Morten\Desktop\TdB\SourceDirectory\Modbus\QBE2003-P2.5.pdf File not found VBAProject</t>
  </si>
  <si>
    <t>createFileFromDirectory C:\Users\Morten\Desktop\TdB\SourceDirectory\Modbus\TEAT LU TE-N V2.pdf File not found VBAProject</t>
  </si>
  <si>
    <t>createFileFromDirectory C:\Users\Morten\Desktop\TdB\SourceDirectory\Modbus\SITRANS FM MAG 5100W.pdf File not found VBAProject</t>
  </si>
  <si>
    <t>createFileFromDirectory C:\Users\Morten\Desktop\TdB\SourceDirectory\Modbus\Spjeldventil DN150.pdf File not found VBAProject</t>
  </si>
  <si>
    <t>createFileFromDirectory C:\Users\Morten\Desktop\TdB\SourceDirectory\Modbus\Spjeldventil DN100.pdf File not found VBAProject</t>
  </si>
  <si>
    <t>createFileFromDirectory C:\Users\Morten\Desktop\TdB\SourceDirectory\Modbus\VVA2.pdf File not found VBAProject</t>
  </si>
  <si>
    <t>createFileFromDirectory C:\Users\Morten\Desktop\TdB\SourceDirectory\Modbus\VVK2.pdf File not found VBAProject</t>
  </si>
  <si>
    <t>createFileFromDirectory C:\Users\Morten\Desktop\TdB\SourceDirectory\Modbus\.pdf File not found VBAProject</t>
  </si>
  <si>
    <t>createFileFromDirectory C:\Users\Morten\Desktop\TdB\SourceDirectory\Modbus\VPEL 1.0/2.5.pdf Path not found VBAProject</t>
  </si>
  <si>
    <t>createFileFromDirectory C:\Users\Morten\Desktop\TdB\SourceDirectory\Modbus\Spjeldventil DN125.pdf File not found VBAProject</t>
  </si>
  <si>
    <t>createFileFromDirectory C:\Users\Morten\Desktop\TdB\SourceDirectory\Spjeldventil PA-GF.pdf File not found VBAProject</t>
  </si>
  <si>
    <t>createFileFromDirectory C:\Users\Morten\Desktop\TdB\SourceDirectory\QBE2003-P2.5.pdf File not found VBAProject</t>
  </si>
  <si>
    <t>createFileFromDirectory C:\Users\Morten\Desktop\TdB\SourceDirectory\TEAT LU TE-N V2.pdf File not found VBAProject</t>
  </si>
  <si>
    <t>createFileFromDirectory C:\Users\Morten\Desktop\TdB\SourceDirectory\SITRANS FM MAG 5100W.pdf File not found VBAProject</t>
  </si>
  <si>
    <t>createFileFromDirectory C:\Users\Morten\Desktop\TdB\SourceDirectory\Spjeldventil DN150.pdf File not found VBAProject</t>
  </si>
  <si>
    <t>createFileFromDirectory C:\Users\Morten\Desktop\TdB\SourceDirectory\Spjeldventil DN100.pdf File not found VBAProject</t>
  </si>
  <si>
    <t>createFileFromDirectory C:\Users\Morten\Desktop\TdB\SourceDirectory\VVA2.pdf File not found VBAProject</t>
  </si>
  <si>
    <t>createFileFromDirectory C:\Users\Morten\Desktop\TdB\SourceDirectory\VVK2.pdf File not found VBAProject</t>
  </si>
  <si>
    <t>createFileFromDirectory C:\Users\Morten\Desktop\TdB\SourceDirectory\.pdf File not found VBAProject</t>
  </si>
  <si>
    <t>createFileFromDirectory C:\Users\Morten\Desktop\TdB\SourceDirectory\VPEL 1.0/2.5.pdf Path not found VBAProject</t>
  </si>
  <si>
    <t>createFileFromDirectory C:\Users\Morten\Desktop\TdB\SourceDirectory\Spjeldventil DN125.pdf File not found VBAProject</t>
  </si>
  <si>
    <t>Visning:</t>
  </si>
  <si>
    <t>ENKEL</t>
  </si>
  <si>
    <t>DIMENSJONERINGSBETINGELSER</t>
  </si>
  <si>
    <t>KOMPONENTDATA</t>
  </si>
  <si>
    <t>ELEKTRISKE DATA</t>
  </si>
  <si>
    <t>SENTRAL DRIFTSKONTROLL</t>
  </si>
  <si>
    <t>KVALITETSSIKRING</t>
  </si>
  <si>
    <t>VERSJONSOVERSIKT</t>
  </si>
  <si>
    <t>ØKONOMIOVERSIKT</t>
  </si>
  <si>
    <t>{{SiteItem.Title}}</t>
  </si>
  <si>
    <t>Tavle</t>
  </si>
  <si>
    <t>I</t>
  </si>
  <si>
    <t>O</t>
  </si>
  <si>
    <t>Regulering</t>
  </si>
  <si>
    <t>Funksjon / merknad</t>
  </si>
  <si>
    <t>MODBUS / J-BUS</t>
  </si>
  <si>
    <t>EOP - Lastkontroll</t>
  </si>
  <si>
    <t>Alarmer og tilhørighet</t>
  </si>
  <si>
    <t>Fase 1-3</t>
  </si>
  <si>
    <t>PDR</t>
  </si>
  <si>
    <t>0 - 10%</t>
  </si>
  <si>
    <t>Fase 4</t>
  </si>
  <si>
    <t>CDR</t>
  </si>
  <si>
    <t>10 - 30%</t>
  </si>
  <si>
    <t>Fase 5</t>
  </si>
  <si>
    <t>FDR</t>
  </si>
  <si>
    <t>30 - 60%</t>
  </si>
  <si>
    <t>Fase 6</t>
  </si>
  <si>
    <t>FAT</t>
  </si>
  <si>
    <t>60 - 90%</t>
  </si>
  <si>
    <t>Fase 7</t>
  </si>
  <si>
    <t>SAT</t>
  </si>
  <si>
    <t>Fase 8-9</t>
  </si>
  <si>
    <t>VAL</t>
  </si>
  <si>
    <t>Fase 10</t>
  </si>
  <si>
    <t>Antall punkter:</t>
  </si>
  <si>
    <t>{{SiteItem.SiteNo}}</t>
  </si>
  <si>
    <t>Kontrakt:</t>
  </si>
  <si>
    <t>Solid-state / Triac / Programkopler</t>
  </si>
  <si>
    <t>Servicebr. Styre- / hovedstrøm</t>
  </si>
  <si>
    <t>Indikeringslampe Drift / Feil</t>
  </si>
  <si>
    <t>Av/på/auto-bryter Komp. / System</t>
  </si>
  <si>
    <t>Set-pkt. / Innstill.verdi / Børverdi</t>
  </si>
  <si>
    <t>Måler i EOP</t>
  </si>
  <si>
    <t>Måler i lastkontroll</t>
  </si>
  <si>
    <t>Utkoblingslastenes prioritet</t>
  </si>
  <si>
    <t>Utkoblingslastenes komfortgrense</t>
  </si>
  <si>
    <t>Grenser</t>
  </si>
  <si>
    <t>Segregering</t>
  </si>
  <si>
    <t>Salg/Kontrakt - Planlegging</t>
  </si>
  <si>
    <t>Foreløpig Design:  Forprosjektering (Applikasjonsgrunnlag)</t>
  </si>
  <si>
    <t>Endelig Design:  Prosjektering (Beskrivelse, Tavleskjema)</t>
  </si>
  <si>
    <t>Produksjon:    Montasje, Tavlebygging, Programmering</t>
  </si>
  <si>
    <t>Igangkjøring:  Kontroll, Funksjonstesting, Innregulering, Prøveperiode</t>
  </si>
  <si>
    <t>Sluttest - Overlevering - Rekl.</t>
  </si>
  <si>
    <t>Service</t>
  </si>
  <si>
    <t>Sum kolonne:</t>
  </si>
  <si>
    <t>Dato:</t>
  </si>
  <si>
    <t>Rev:</t>
  </si>
  <si>
    <t>&lt;&gt;0</t>
  </si>
  <si>
    <t>Binary / floats      /    ( Scanperiod )</t>
  </si>
  <si>
    <t>Klasse ( XBSi)  /  Bildenr. (Xfi)</t>
  </si>
  <si>
    <t>ferdig</t>
  </si>
  <si>
    <t>HARDWARE</t>
  </si>
  <si>
    <t>APPLIKASJON / SOFTWARE</t>
  </si>
  <si>
    <t>Påslag annet utstyr:</t>
  </si>
  <si>
    <t>ID-NUMMER</t>
  </si>
  <si>
    <t>Ver.: 4.00</t>
  </si>
  <si>
    <r>
      <t>Sum totalt (</t>
    </r>
    <r>
      <rPr>
        <b/>
        <sz val="8"/>
        <rFont val="Arial"/>
        <family val="2"/>
      </rPr>
      <t>i autofilteret</t>
    </r>
    <r>
      <rPr>
        <sz val="10"/>
        <rFont val="Arial"/>
        <family val="2"/>
      </rPr>
      <t>)</t>
    </r>
  </si>
  <si>
    <t>Bygg</t>
  </si>
  <si>
    <t>Systemtype</t>
  </si>
  <si>
    <t>Systemnr.</t>
  </si>
  <si>
    <t>Objekt nr.</t>
  </si>
  <si>
    <t>Funksjonskode</t>
  </si>
  <si>
    <t>Till.-info.</t>
  </si>
  <si>
    <t>Objekt navn</t>
  </si>
  <si>
    <t>Betjener</t>
  </si>
  <si>
    <t>Beskrivelse (spesial)</t>
  </si>
  <si>
    <t>Komponent-plassering</t>
  </si>
  <si>
    <t>Ytelse, effekt 1/1 - 1/2 etc.</t>
  </si>
  <si>
    <t>Prosessverdi</t>
  </si>
  <si>
    <t>Enhet (prosessverdi)</t>
  </si>
  <si>
    <t>Vannmengde</t>
  </si>
  <si>
    <t>Trykkfall ventil</t>
  </si>
  <si>
    <t>Luftmengde</t>
  </si>
  <si>
    <t>Maks/dim.temperatur</t>
  </si>
  <si>
    <t>Diff.temperatur</t>
  </si>
  <si>
    <t>Medie;vann,luft,glycol,freon</t>
  </si>
  <si>
    <t>Spjeldareal</t>
  </si>
  <si>
    <t>Trykk-klasse</t>
  </si>
  <si>
    <t>IP-grad</t>
  </si>
  <si>
    <t>Gruppert under fordeling</t>
  </si>
  <si>
    <t>Kabel fra</t>
  </si>
  <si>
    <t>Mellom-kobling 1</t>
  </si>
  <si>
    <t>Mellom-kobling 2</t>
  </si>
  <si>
    <t>Klemme-nummer komponent</t>
  </si>
  <si>
    <t>KVs-verdi</t>
  </si>
  <si>
    <t>Reguleringsautoritet</t>
  </si>
  <si>
    <t>DN / Dimensjon / Mål</t>
  </si>
  <si>
    <t>Gangtid</t>
  </si>
  <si>
    <t>Kapasitet</t>
  </si>
  <si>
    <t>Måleområde</t>
  </si>
  <si>
    <t>Signal</t>
  </si>
  <si>
    <t>Produkt navn 1, typenr.</t>
  </si>
  <si>
    <t>Produkt navn 2, typenr.</t>
  </si>
  <si>
    <t>Fabrikat</t>
  </si>
  <si>
    <t>Leverandør / forhandler</t>
  </si>
  <si>
    <t>Leveres av entreprenør</t>
  </si>
  <si>
    <t>Prioritert kraft</t>
  </si>
  <si>
    <t>Spenning / fase</t>
  </si>
  <si>
    <t>Effekt</t>
  </si>
  <si>
    <t>Strøm / Merkestrøm</t>
  </si>
  <si>
    <t>Termosikring i motor</t>
  </si>
  <si>
    <t>Hastighet 1.2, Variabel</t>
  </si>
  <si>
    <t>Dalander / Sep.vikling</t>
  </si>
  <si>
    <t>Antall trinn</t>
  </si>
  <si>
    <t>Kabeltype</t>
  </si>
  <si>
    <t>Bus - nr.</t>
  </si>
  <si>
    <t>US - nr.</t>
  </si>
  <si>
    <t>US Hus nr.</t>
  </si>
  <si>
    <t>US Kort nr.</t>
  </si>
  <si>
    <t>US I/O nr.</t>
  </si>
  <si>
    <t>Digital inngang, Alarm</t>
  </si>
  <si>
    <t>Digital inngang, Indikering</t>
  </si>
  <si>
    <t>Analog inngang, Måling</t>
  </si>
  <si>
    <t>Puls inngang</t>
  </si>
  <si>
    <t>Digital utgang, Styring</t>
  </si>
  <si>
    <t>Analog utgang, Posisjon</t>
  </si>
  <si>
    <t>AV / PÅ</t>
  </si>
  <si>
    <t>Modulerende</t>
  </si>
  <si>
    <t>Controller nr</t>
  </si>
  <si>
    <t>I/O adresse</t>
  </si>
  <si>
    <r>
      <t xml:space="preserve">Punkt type A/D, R/W  </t>
    </r>
    <r>
      <rPr>
        <sz val="8"/>
        <rFont val="Arial"/>
        <family val="2"/>
      </rPr>
      <t>(1-4)</t>
    </r>
  </si>
  <si>
    <r>
      <t xml:space="preserve">Punkt format </t>
    </r>
    <r>
      <rPr>
        <sz val="8"/>
        <rFont val="Arial"/>
        <family val="2"/>
      </rPr>
      <t>(0-12)</t>
    </r>
  </si>
  <si>
    <t>Verdistørr. / Signalomr.</t>
  </si>
  <si>
    <t>Enhet / Benevnelse</t>
  </si>
  <si>
    <t>Merknad</t>
  </si>
  <si>
    <t>Alarmprioritet</t>
  </si>
  <si>
    <t>Personsøkeroverføring</t>
  </si>
  <si>
    <t>Lav  Lav</t>
  </si>
  <si>
    <t>Lav</t>
  </si>
  <si>
    <t xml:space="preserve">Høy </t>
  </si>
  <si>
    <t xml:space="preserve">Høy  Høy </t>
  </si>
  <si>
    <t>Område</t>
  </si>
  <si>
    <t>Funksjon</t>
  </si>
  <si>
    <t>Stasjon</t>
  </si>
  <si>
    <t>Operatør</t>
  </si>
  <si>
    <t>Eldata og underlag</t>
  </si>
  <si>
    <t>Bestilling</t>
  </si>
  <si>
    <t>Montasje- og elektroarbeider</t>
  </si>
  <si>
    <t>Program og riggtest</t>
  </si>
  <si>
    <t>Feltkomponenter</t>
  </si>
  <si>
    <t>Undersentral</t>
  </si>
  <si>
    <t>Hovedsentral</t>
  </si>
  <si>
    <t>Anmerkning / mangel</t>
  </si>
  <si>
    <t>OS ver. nr.</t>
  </si>
  <si>
    <t>Beskrivelse</t>
  </si>
  <si>
    <t>Ver. nr.</t>
  </si>
  <si>
    <t>Rev. dato.</t>
  </si>
  <si>
    <t>Sign.</t>
  </si>
  <si>
    <t>Komp.-antall</t>
  </si>
  <si>
    <t>Enhets- pris kunde</t>
  </si>
  <si>
    <t>Sum               HW-utstyr</t>
  </si>
  <si>
    <t>Annet utstyr</t>
  </si>
  <si>
    <t>Tjenester / parametrering</t>
  </si>
  <si>
    <t>1/2/3</t>
  </si>
  <si>
    <t>FD</t>
  </si>
  <si>
    <t>Utført</t>
  </si>
  <si>
    <t>Godkj.</t>
  </si>
  <si>
    <t>Data</t>
  </si>
  <si>
    <t>KD</t>
  </si>
  <si>
    <t>Egenkontr.</t>
  </si>
  <si>
    <t>Ekst. godkj.</t>
  </si>
  <si>
    <t>Kommentar</t>
  </si>
  <si>
    <t>Utstyr</t>
  </si>
  <si>
    <t>Skilt</t>
  </si>
  <si>
    <t>ED</t>
  </si>
  <si>
    <t>Skjemakontr.</t>
  </si>
  <si>
    <t>Funk.kontr.</t>
  </si>
  <si>
    <t xml:space="preserve">Kommentar </t>
  </si>
  <si>
    <t>Mont.-</t>
  </si>
  <si>
    <t>Montert</t>
  </si>
  <si>
    <t>Kablet</t>
  </si>
  <si>
    <t>Koblet</t>
  </si>
  <si>
    <t>Programmert</t>
  </si>
  <si>
    <t>Testet</t>
  </si>
  <si>
    <t>PI</t>
  </si>
  <si>
    <t>Montasje-</t>
  </si>
  <si>
    <t>Merket</t>
  </si>
  <si>
    <t>Innjustert</t>
  </si>
  <si>
    <t>I/O-testet</t>
  </si>
  <si>
    <t>Beskr.</t>
  </si>
  <si>
    <t>Funk.testet</t>
  </si>
  <si>
    <t>Innregulert</t>
  </si>
  <si>
    <t>Tilknyttet</t>
  </si>
  <si>
    <t>OI</t>
  </si>
  <si>
    <t>DR</t>
  </si>
  <si>
    <t>Rapport-</t>
  </si>
  <si>
    <t>Sum</t>
  </si>
  <si>
    <t>kW</t>
  </si>
  <si>
    <t>l/s</t>
  </si>
  <si>
    <t>kPa</t>
  </si>
  <si>
    <t>m3/h</t>
  </si>
  <si>
    <t xml:space="preserve"> °C</t>
  </si>
  <si>
    <t>m2</t>
  </si>
  <si>
    <t>PN</t>
  </si>
  <si>
    <t>%</t>
  </si>
  <si>
    <t>mm</t>
  </si>
  <si>
    <t>Ant.</t>
  </si>
  <si>
    <t>J/N</t>
  </si>
  <si>
    <t>V/f</t>
  </si>
  <si>
    <t>A</t>
  </si>
  <si>
    <t>D/S</t>
  </si>
  <si>
    <t>S/T/P</t>
  </si>
  <si>
    <t>S/H</t>
  </si>
  <si>
    <t>D/F</t>
  </si>
  <si>
    <t>K/S</t>
  </si>
  <si>
    <t>I/O</t>
  </si>
  <si>
    <t>DI</t>
  </si>
  <si>
    <t>AI</t>
  </si>
  <si>
    <t>DO</t>
  </si>
  <si>
    <t>AO</t>
  </si>
  <si>
    <t>1/2/..</t>
  </si>
  <si>
    <t>U/H/L</t>
  </si>
  <si>
    <t>Rev.</t>
  </si>
  <si>
    <t>dato /sign</t>
  </si>
  <si>
    <t>dato/sign</t>
  </si>
  <si>
    <t>Forespurt</t>
  </si>
  <si>
    <t>mottatt</t>
  </si>
  <si>
    <t>akseptert</t>
  </si>
  <si>
    <t>/anmerkning</t>
  </si>
  <si>
    <t>bestilt</t>
  </si>
  <si>
    <t>Bestilt</t>
  </si>
  <si>
    <t>ansvar</t>
  </si>
  <si>
    <t>tavle</t>
  </si>
  <si>
    <t>komp.</t>
  </si>
  <si>
    <t>dato / sign.</t>
  </si>
  <si>
    <t>kontroll</t>
  </si>
  <si>
    <t>ver/dato</t>
  </si>
  <si>
    <t>kode</t>
  </si>
  <si>
    <t>1-</t>
  </si>
  <si>
    <t>2-</t>
  </si>
  <si>
    <t>3-</t>
  </si>
  <si>
    <t>4-</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</si>
  <si>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</si>
  <si>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</si>
  <si>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</si>
  <si>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</si>
  <si>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</si>
  <si>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</si>
  <si>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</si>
  <si>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</si>
  <si>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</si>
  <si>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</si>
  <si>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</si>
  <si>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</si>
  <si>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</si>
  <si>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</si>
  <si>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</si>
  <si>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</si>
  <si>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</si>
  <si>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</si>
  <si>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</si>
  <si>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</si>
  <si>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</si>
  <si>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</si>
  <si>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</si>
  <si>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</si>
  <si>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</si>
  <si>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</si>
  <si>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</si>
  <si>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</si>
  <si>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</si>
  <si>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</si>
  <si>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</si>
  <si>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</si>
  <si>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</si>
  <si>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</si>
  <si>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</si>
  <si>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</si>
  <si>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</si>
  <si>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</si>
  <si>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</si>
  <si>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</si>
  <si>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</si>
  <si>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</si>
  <si>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</si>
  <si>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</si>
  <si>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</si>
  <si>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</si>
  <si>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</si>
  <si>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</si>
  <si>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</si>
  <si>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</si>
  <si>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</si>
  <si>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</si>
  <si>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</si>
  <si>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</si>
  <si>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</si>
  <si>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</si>
  <si>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</si>
  <si>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</si>
  <si>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</si>
  <si>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</si>
  <si>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</si>
  <si>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</si>
  <si>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</si>
  <si>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</si>
  <si>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</si>
  <si>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</si>
  <si>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</si>
  <si>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</si>
  <si>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</si>
  <si>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</si>
  <si>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</si>
  <si>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</si>
  <si>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</si>
  <si>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</si>
  <si>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</si>
  <si>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</si>
  <si>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</si>
  <si>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</si>
  <si>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</si>
  <si>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</si>
  <si>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</si>
  <si>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</si>
  <si>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</si>
  <si>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</si>
  <si>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</si>
  <si>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</si>
  <si>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</si>
  <si>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</si>
  <si>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</si>
  <si>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</si>
  <si>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</si>
  <si>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</si>
  <si>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</si>
  <si>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</si>
  <si>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</si>
  <si>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</si>
  <si>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</si>
  <si>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</si>
  <si>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</si>
  <si>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</si>
  <si>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</si>
  <si>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</si>
  <si>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</si>
  <si>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</si>
  <si>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</si>
  <si>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</si>
  <si>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</si>
  <si>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</si>
  <si>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</si>
  <si>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</si>
  <si>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</si>
  <si>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</si>
  <si>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</si>
  <si>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</si>
  <si>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</si>
  <si>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</si>
  <si>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</si>
  <si>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</si>
  <si>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</si>
  <si>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</si>
  <si>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</si>
  <si>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</si>
  <si>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</si>
  <si>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</si>
  <si>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</si>
  <si>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</si>
  <si>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</si>
  <si>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</si>
  <si>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</si>
  <si>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</si>
  <si>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</si>
  <si>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</si>
  <si>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</si>
  <si>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</si>
  <si>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</si>
  <si>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</si>
  <si>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</si>
  <si>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</si>
  <si>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</si>
  <si>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</si>
  <si>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</si>
  <si>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</si>
  <si>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</si>
  <si>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</si>
  <si>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t>
  </si>
  <si>
    <t>+</t>
  </si>
  <si>
    <t>=</t>
  </si>
  <si>
    <t>.</t>
  </si>
  <si>
    <t>-</t>
  </si>
  <si>
    <t>4</t>
  </si>
  <si>
    <t>5</t>
  </si>
  <si>
    <t>001</t>
  </si>
  <si>
    <t>RD401</t>
  </si>
  <si>
    <t>OE401</t>
  </si>
  <si>
    <t>UTSTYRSBESTILLING</t>
  </si>
  <si>
    <t>VPEL 1.0_2.5-N</t>
  </si>
  <si>
    <t>Multical 403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</si>
</sst>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 #,##0_ ;_ * \-#,##0_ ;_ * &quot;-&quot;_ ;_ @_ "/>
    <numFmt numFmtId="165" formatCode="000"/>
    <numFmt numFmtId="166" formatCode="00"/>
    <numFmt numFmtId="167" formatCode="_ * #,##0.00_ ;_ * \-#,##0.00_ ;_ * &quot;-&quot;_ ;_ @_ "/>
    <numFmt numFmtId="168" formatCode="0.0"/>
    <numFmt numFmtId="169" formatCode="00000"/>
    <numFmt numFmtId="170" formatCode="mm/dd/yy"/>
    <numFmt numFmtId="171" formatCode="#,##0_ ;[Red]\-#,##0\ "/>
    <numFmt numFmtId="172" formatCode="#,##0.00_ ;[Red]\-#,##0.00\ "/>
    <numFmt numFmtId="173" formatCode="dd/mm/yy"/>
    <numFmt numFmtId="174" formatCode="[$-414]d/\ mmm\.\ yyyy;@"/>
  </numFmts>
  <fonts count="37" x14ac:knownFonts="1">
    <font>
      <sz val="10"/>
      <name val="Arial"/>
    </font>
    <font>
      <sz val="10"/>
      <name val="Arial"/>
      <family val="2"/>
    </font>
    <font>
      <sz val="10"/>
      <name val="Arial"/>
      <family val="2"/>
    </font>
    <font>
      <b/>
      <sz val="10"/>
      <name val="Arial"/>
      <family val="2"/>
    </font>
    <font>
      <sz val="10"/>
      <color indexed="57"/>
      <name val="Arial"/>
      <family val="2"/>
    </font>
    <font>
      <b/>
      <sz val="18"/>
      <color indexed="10"/>
      <name val="Times New Roman"/>
      <family val="1"/>
    </font>
    <font>
      <b/>
      <sz val="12"/>
      <name val="Arial"/>
      <family val="2"/>
    </font>
    <font>
      <sz val="10"/>
      <color indexed="21"/>
      <name val="Arial"/>
      <family val="2"/>
    </font>
    <font>
      <b/>
      <sz val="14"/>
      <name val="Arial"/>
      <family val="2"/>
    </font>
    <font>
      <sz val="14"/>
      <name val="Arial"/>
      <family val="2"/>
    </font>
    <font>
      <sz val="8"/>
      <name val="Arial"/>
      <family val="2"/>
    </font>
    <font>
      <sz val="12"/>
      <name val="Arial"/>
      <family val="2"/>
    </font>
    <font>
      <b/>
      <sz val="18"/>
      <name val="Arial"/>
      <family val="2"/>
    </font>
    <font>
      <sz val="7"/>
      <name val="Arial"/>
      <family val="2"/>
    </font>
    <font>
      <b/>
      <sz val="10"/>
      <name val="Times New Roman"/>
      <family val="1"/>
    </font>
    <font>
      <b/>
      <sz val="16"/>
      <name val="Arial"/>
      <family val="2"/>
    </font>
    <font>
      <sz val="16"/>
      <name val="Arial"/>
      <family val="2"/>
    </font>
    <font>
      <b/>
      <sz val="18"/>
      <name val="Arial Black"/>
      <family val="2"/>
    </font>
    <font>
      <sz val="14"/>
      <name val="Arial Black"/>
      <family val="2"/>
    </font>
    <font>
      <b/>
      <sz val="16"/>
      <color indexed="8"/>
      <name val="Arial"/>
      <family val="2"/>
    </font>
    <font>
      <b/>
      <sz val="10"/>
      <color indexed="10"/>
      <name val="Arial"/>
      <family val="2"/>
    </font>
    <font>
      <sz val="17"/>
      <color indexed="8"/>
      <name val="Arial"/>
      <family val="2"/>
    </font>
    <font>
      <sz val="10"/>
      <color indexed="10"/>
      <name val="Arial"/>
      <family val="2"/>
    </font>
    <font>
      <b/>
      <sz val="14"/>
      <color indexed="9"/>
      <name val="Arial"/>
      <family val="2"/>
    </font>
    <font>
      <sz val="14"/>
      <color indexed="21"/>
      <name val="Arial"/>
      <family val="2"/>
    </font>
    <font>
      <sz val="14"/>
      <color indexed="57"/>
      <name val="Arial"/>
      <family val="2"/>
    </font>
    <font>
      <sz val="14"/>
      <color indexed="9"/>
      <name val="Arial"/>
      <family val="2"/>
    </font>
    <font>
      <sz val="10"/>
      <color indexed="9"/>
      <name val="Arial"/>
      <family val="2"/>
    </font>
    <font>
      <b/>
      <sz val="10"/>
      <color indexed="21"/>
      <name val="Arial"/>
      <family val="2"/>
    </font>
    <font>
      <sz val="8"/>
      <name val="Arial"/>
      <family val="2"/>
    </font>
    <font>
      <sz val="14"/>
      <color indexed="8"/>
      <name val="Arial"/>
      <family val="2"/>
    </font>
    <font>
      <sz val="10"/>
      <color indexed="8"/>
      <name val="Arial"/>
      <family val="2"/>
    </font>
    <font>
      <b/>
      <sz val="10"/>
      <color indexed="8"/>
      <name val="Arial"/>
      <family val="2"/>
    </font>
    <font>
      <sz val="8"/>
      <color indexed="81"/>
      <name val="Tahoma"/>
      <family val="2"/>
    </font>
    <font>
      <b/>
      <sz val="8"/>
      <color indexed="81"/>
      <name val="Tahoma"/>
      <family val="2"/>
    </font>
    <font>
      <b/>
      <sz val="10"/>
      <color rgb="FF000000"/>
      <name val="Arial"/>
      <family val="2"/>
    </font>
    <font>
      <b/>
      <sz val="8"/>
      <name val="Arial"/>
      <family val="2"/>
    </font>
  </fonts>
  <fills count="14">
    <fill>
      <patternFill patternType="none"/>
    </fill>
    <fill>
      <patternFill patternType="gray125"/>
    </fill>
    <fill>
      <patternFill patternType="solid">
        <fgColor indexed="2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40"/>
        <bgColor indexed="64"/>
      </patternFill>
    </fill>
    <fill>
      <patternFill patternType="solid">
        <fgColor indexed="14"/>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6"/>
        <bgColor indexed="64"/>
      </patternFill>
    </fill>
    <fill>
      <patternFill patternType="solid">
        <fgColor indexed="44"/>
        <bgColor indexed="64"/>
      </patternFill>
    </fill>
    <fill>
      <patternFill patternType="solid">
        <fgColor indexed="43"/>
        <bgColor indexed="64"/>
      </patternFill>
    </fill>
  </fills>
  <borders count="62">
    <border>
      <left/>
      <right/>
      <top/>
      <bottom/>
      <diagonal/>
    </border>
    <border>
      <left/>
      <right/>
      <top style="thin">
        <color indexed="64"/>
      </top>
      <bottom style="double">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top style="thin">
        <color indexed="64"/>
      </top>
      <bottom/>
      <diagonal/>
    </border>
  </borders>
  <cellStyleXfs count="4">
    <xf numFmtId="0" fontId="0" fillId="0" borderId="0"/>
    <xf numFmtId="9" fontId="1" fillId="0" borderId="0" applyFont="0" applyFill="0" applyBorder="0" applyAlignment="0" applyProtection="0"/>
    <xf numFmtId="164" fontId="1" fillId="0" borderId="0" applyFont="0" applyFill="0" applyBorder="0" applyAlignment="0" applyProtection="0"/>
    <xf numFmtId="0" fontId="1" fillId="0" borderId="0"/>
  </cellStyleXfs>
  <cellXfs count="761">
    <xf numFmtId="0" fontId="0" fillId="0" borderId="0" xfId="0"/>
    <xf numFmtId="0" fontId="10" fillId="0" borderId="0" xfId="0" applyFont="1" applyAlignment="1">
      <alignment horizontal="right"/>
    </xf>
    <xf numFmtId="9" fontId="10" fillId="0" borderId="0" xfId="1" applyFont="1" applyAlignment="1">
      <alignment horizontal="right"/>
    </xf>
    <xf numFmtId="0" fontId="6" fillId="0" borderId="0" xfId="0" applyFont="1" applyAlignment="1">
      <alignment horizontal="center"/>
    </xf>
    <xf numFmtId="0" fontId="12" fillId="0" borderId="0" xfId="0" applyFont="1" applyAlignment="1">
      <alignment horizontal="center"/>
    </xf>
    <xf numFmtId="0" fontId="11" fillId="0" borderId="0" xfId="0" applyFont="1"/>
    <xf numFmtId="0" fontId="9" fillId="0" borderId="1" xfId="0" applyFont="1" applyBorder="1"/>
    <xf numFmtId="0" fontId="2" fillId="0" borderId="0" xfId="0" applyFont="1" applyAlignment="1">
      <alignment horizontal="center"/>
    </xf>
    <xf numFmtId="0" fontId="9" fillId="0" borderId="0" xfId="0" applyFont="1"/>
    <xf numFmtId="0" fontId="9" fillId="2" borderId="0" xfId="0" applyFont="1" applyFill="1" applyAlignment="1">
      <alignment horizontal="center"/>
    </xf>
    <xf numFmtId="0" fontId="9" fillId="0" borderId="0" xfId="0" applyFont="1" applyAlignment="1">
      <alignment horizontal="center"/>
    </xf>
    <xf numFmtId="0" fontId="9" fillId="3" borderId="0" xfId="0" applyFont="1" applyFill="1" applyAlignment="1">
      <alignment horizontal="center"/>
    </xf>
    <xf numFmtId="0" fontId="9" fillId="4" borderId="0" xfId="0" applyFont="1" applyFill="1" applyAlignment="1">
      <alignment horizontal="center"/>
    </xf>
    <xf numFmtId="0" fontId="9" fillId="5" borderId="0" xfId="0" applyFont="1" applyFill="1" applyAlignment="1">
      <alignment horizontal="center"/>
    </xf>
    <xf numFmtId="0" fontId="8" fillId="0" borderId="2" xfId="0" applyFont="1" applyBorder="1"/>
    <xf numFmtId="0" fontId="9" fillId="0" borderId="2" xfId="0" applyFont="1" applyBorder="1"/>
    <xf numFmtId="0" fontId="9" fillId="6" borderId="0" xfId="0" applyFont="1" applyFill="1" applyAlignment="1">
      <alignment horizontal="center"/>
    </xf>
    <xf numFmtId="0" fontId="5" fillId="0" borderId="0" xfId="0" applyFont="1" applyAlignment="1">
      <alignment horizontal="left" vertical="center"/>
    </xf>
    <xf numFmtId="0" fontId="0" fillId="0" borderId="0" xfId="0" applyAlignment="1" applyProtection="1">
      <alignment horizontal="center"/>
      <protection locked="0"/>
    </xf>
    <xf numFmtId="0" fontId="3" fillId="0" borderId="0" xfId="0" applyFont="1" applyAlignment="1" applyProtection="1">
      <alignment horizontal="left" vertical="center"/>
      <protection locked="0"/>
    </xf>
    <xf numFmtId="0" fontId="0" fillId="0" borderId="0" xfId="0" applyProtection="1">
      <protection locked="0"/>
    </xf>
    <xf numFmtId="0" fontId="0" fillId="0" borderId="0" xfId="0" quotePrefix="1" applyAlignment="1" applyProtection="1">
      <alignment horizontal="center"/>
      <protection locked="0"/>
    </xf>
    <xf numFmtId="0" fontId="0" fillId="0" borderId="0" xfId="0" applyAlignment="1" applyProtection="1">
      <alignment horizontal="left" wrapText="1"/>
      <protection locked="0"/>
    </xf>
    <xf numFmtId="14" fontId="0" fillId="0" borderId="0" xfId="0" applyNumberFormat="1" applyAlignment="1" applyProtection="1">
      <alignment horizontal="center"/>
      <protection locked="0"/>
    </xf>
    <xf numFmtId="0" fontId="0" fillId="0" borderId="0" xfId="0" applyAlignment="1" applyProtection="1">
      <alignment wrapText="1"/>
      <protection locked="0"/>
    </xf>
    <xf numFmtId="0" fontId="0" fillId="0" borderId="0" xfId="0" quotePrefix="1" applyAlignment="1" applyProtection="1">
      <alignment horizontal="left" wrapText="1"/>
      <protection locked="0"/>
    </xf>
    <xf numFmtId="0" fontId="0" fillId="0" borderId="0" xfId="0" applyAlignment="1">
      <alignment horizontal="center"/>
    </xf>
    <xf numFmtId="0" fontId="3" fillId="0" borderId="0" xfId="0" applyFont="1" applyAlignment="1">
      <alignment horizontal="left" vertical="center"/>
    </xf>
    <xf numFmtId="0" fontId="3" fillId="0" borderId="11" xfId="0" applyFont="1" applyBorder="1" applyAlignment="1">
      <alignment horizontal="center" wrapText="1"/>
    </xf>
    <xf numFmtId="0" fontId="3" fillId="0" borderId="12" xfId="0" applyFont="1" applyBorder="1" applyAlignment="1">
      <alignment horizontal="center" wrapText="1"/>
    </xf>
    <xf numFmtId="0" fontId="3" fillId="0" borderId="12" xfId="0" quotePrefix="1" applyFont="1" applyBorder="1" applyAlignment="1">
      <alignment horizontal="center" wrapText="1"/>
    </xf>
    <xf numFmtId="0" fontId="3" fillId="0" borderId="13" xfId="0" applyFont="1" applyBorder="1" applyAlignment="1">
      <alignment horizontal="center" wrapText="1"/>
    </xf>
    <xf numFmtId="172" fontId="9" fillId="0" borderId="1" xfId="0" applyNumberFormat="1" applyFont="1" applyBorder="1"/>
    <xf numFmtId="0" fontId="15" fillId="0" borderId="0" xfId="0" applyFont="1" applyAlignment="1">
      <alignment horizontal="center"/>
    </xf>
    <xf numFmtId="0" fontId="16" fillId="0" borderId="0" xfId="0" applyFont="1"/>
    <xf numFmtId="172" fontId="9" fillId="0" borderId="0" xfId="0" applyNumberFormat="1" applyFont="1"/>
    <xf numFmtId="172" fontId="11" fillId="0" borderId="0" xfId="0" applyNumberFormat="1" applyFont="1"/>
    <xf numFmtId="9" fontId="11" fillId="0" borderId="0" xfId="1" applyFont="1"/>
    <xf numFmtId="9" fontId="9" fillId="0" borderId="1" xfId="1" applyFont="1" applyBorder="1"/>
    <xf numFmtId="0" fontId="6" fillId="0" borderId="19" xfId="0" applyFont="1" applyBorder="1"/>
    <xf numFmtId="0" fontId="6" fillId="0" borderId="18" xfId="0" applyFont="1" applyBorder="1"/>
    <xf numFmtId="0" fontId="6" fillId="0" borderId="20" xfId="0" applyFont="1" applyBorder="1" applyAlignment="1">
      <alignment horizontal="left"/>
    </xf>
    <xf numFmtId="0" fontId="6" fillId="0" borderId="21" xfId="0" applyFont="1" applyBorder="1"/>
    <xf numFmtId="0" fontId="6" fillId="0" borderId="0" xfId="0" applyFont="1"/>
    <xf numFmtId="0" fontId="6" fillId="0" borderId="22" xfId="0" applyFont="1" applyBorder="1" applyAlignment="1">
      <alignment horizontal="left"/>
    </xf>
    <xf numFmtId="0" fontId="6" fillId="0" borderId="23" xfId="0" applyFont="1" applyBorder="1"/>
    <xf numFmtId="14" fontId="6" fillId="0" borderId="24" xfId="0" applyNumberFormat="1" applyFont="1" applyBorder="1" applyAlignment="1">
      <alignment horizontal="left"/>
    </xf>
    <xf numFmtId="0" fontId="6" fillId="0" borderId="24" xfId="0" applyFont="1" applyBorder="1"/>
    <xf numFmtId="0" fontId="6" fillId="0" borderId="25" xfId="0" applyFont="1" applyBorder="1" applyAlignment="1">
      <alignment horizontal="left"/>
    </xf>
    <xf numFmtId="14" fontId="6" fillId="0" borderId="0" xfId="0" applyNumberFormat="1" applyFont="1" applyAlignment="1">
      <alignment horizontal="left"/>
    </xf>
    <xf numFmtId="0" fontId="6" fillId="0" borderId="0" xfId="0" applyFont="1" applyAlignment="1">
      <alignment horizontal="left"/>
    </xf>
    <xf numFmtId="0" fontId="11" fillId="0" borderId="26" xfId="0" applyFont="1" applyBorder="1"/>
    <xf numFmtId="0" fontId="11" fillId="0" borderId="0" xfId="0" applyFont="1" applyAlignment="1">
      <alignment horizontal="left"/>
    </xf>
    <xf numFmtId="9" fontId="10" fillId="0" borderId="0" xfId="1" applyFont="1" applyAlignment="1" applyProtection="1">
      <alignment horizontal="center"/>
      <protection locked="0"/>
    </xf>
    <xf numFmtId="9" fontId="11" fillId="0" borderId="0" xfId="0" applyNumberFormat="1" applyFont="1" applyAlignment="1">
      <alignment horizontal="center"/>
    </xf>
    <xf numFmtId="0" fontId="10" fillId="0" borderId="0" xfId="0" applyFont="1" applyAlignment="1">
      <alignment horizontal="center"/>
    </xf>
    <xf numFmtId="9" fontId="10" fillId="0" borderId="26" xfId="1" applyFont="1" applyBorder="1" applyAlignment="1">
      <alignment horizontal="center"/>
    </xf>
    <xf numFmtId="9" fontId="11" fillId="0" borderId="26" xfId="0" applyNumberFormat="1" applyFont="1" applyBorder="1" applyAlignment="1">
      <alignment horizontal="center"/>
    </xf>
    <xf numFmtId="172" fontId="2" fillId="0" borderId="0" xfId="0" applyNumberFormat="1" applyFont="1"/>
    <xf numFmtId="9" fontId="2" fillId="0" borderId="0" xfId="1" applyFont="1"/>
    <xf numFmtId="0" fontId="6" fillId="0" borderId="18" xfId="0" applyFont="1" applyBorder="1" applyAlignment="1">
      <alignment horizontal="left" vertical="center"/>
    </xf>
    <xf numFmtId="0" fontId="8" fillId="4" borderId="18" xfId="0" applyFont="1" applyFill="1" applyBorder="1" applyAlignment="1" applyProtection="1">
      <alignment horizontal="left" vertical="center"/>
      <protection locked="0"/>
    </xf>
    <xf numFmtId="0" fontId="13" fillId="0" borderId="19" xfId="0" applyFont="1" applyBorder="1" applyAlignment="1">
      <alignment vertical="center"/>
    </xf>
    <xf numFmtId="0" fontId="19" fillId="0" borderId="30" xfId="0" applyFont="1" applyBorder="1" applyAlignment="1">
      <alignment horizontal="left" vertical="center"/>
    </xf>
    <xf numFmtId="165" fontId="20" fillId="0" borderId="18" xfId="0" applyNumberFormat="1" applyFont="1" applyBorder="1" applyAlignment="1">
      <alignment horizontal="right" vertical="center"/>
    </xf>
    <xf numFmtId="165" fontId="20" fillId="0" borderId="18" xfId="0" applyNumberFormat="1" applyFont="1" applyBorder="1" applyAlignment="1">
      <alignment horizontal="center" vertical="center"/>
    </xf>
    <xf numFmtId="166" fontId="20" fillId="0" borderId="18" xfId="0" applyNumberFormat="1" applyFont="1" applyBorder="1" applyAlignment="1">
      <alignment horizontal="center" vertical="center"/>
    </xf>
    <xf numFmtId="166" fontId="20" fillId="0" borderId="18" xfId="0" applyNumberFormat="1" applyFont="1" applyBorder="1" applyAlignment="1">
      <alignment horizontal="left" vertical="center"/>
    </xf>
    <xf numFmtId="0" fontId="20" fillId="0" borderId="18" xfId="0" applyFont="1" applyBorder="1" applyAlignment="1">
      <alignment horizontal="left" vertical="center"/>
    </xf>
    <xf numFmtId="0" fontId="20" fillId="0" borderId="18" xfId="0" applyFont="1" applyBorder="1" applyAlignment="1">
      <alignment horizontal="center" vertical="center"/>
    </xf>
    <xf numFmtId="13" fontId="20" fillId="0" borderId="18" xfId="0" applyNumberFormat="1" applyFont="1" applyBorder="1" applyAlignment="1">
      <alignment horizontal="left" vertical="center"/>
    </xf>
    <xf numFmtId="13" fontId="22" fillId="0" borderId="18" xfId="0" applyNumberFormat="1" applyFont="1" applyBorder="1" applyAlignment="1" applyProtection="1">
      <alignment horizontal="left" vertical="center" wrapText="1"/>
      <protection locked="0"/>
    </xf>
    <xf numFmtId="169" fontId="3" fillId="0" borderId="20" xfId="0" applyNumberFormat="1" applyFont="1" applyBorder="1" applyAlignment="1" applyProtection="1">
      <alignment horizontal="centerContinuous" vertical="center"/>
      <protection locked="0"/>
    </xf>
    <xf numFmtId="0" fontId="8" fillId="4" borderId="18" xfId="0" applyFont="1" applyFill="1" applyBorder="1" applyAlignment="1" applyProtection="1">
      <alignment horizontal="centerContinuous" vertical="center"/>
      <protection locked="0"/>
    </xf>
    <xf numFmtId="0" fontId="8" fillId="4" borderId="18" xfId="0" applyFont="1" applyFill="1" applyBorder="1" applyAlignment="1" applyProtection="1">
      <alignment horizontal="center" vertical="center"/>
      <protection locked="0"/>
    </xf>
    <xf numFmtId="0" fontId="9" fillId="4" borderId="18" xfId="0" applyFont="1" applyFill="1" applyBorder="1" applyAlignment="1" applyProtection="1">
      <alignment horizontal="center" vertical="center"/>
      <protection locked="0"/>
    </xf>
    <xf numFmtId="0" fontId="9" fillId="4" borderId="20" xfId="0" applyFont="1" applyFill="1" applyBorder="1" applyAlignment="1" applyProtection="1">
      <alignment vertical="center"/>
      <protection locked="0"/>
    </xf>
    <xf numFmtId="0" fontId="8" fillId="7" borderId="18" xfId="0" applyFont="1" applyFill="1" applyBorder="1" applyAlignment="1" applyProtection="1">
      <alignment vertical="center"/>
      <protection locked="0"/>
    </xf>
    <xf numFmtId="0" fontId="23" fillId="7" borderId="18" xfId="0" applyFont="1" applyFill="1" applyBorder="1" applyAlignment="1" applyProtection="1">
      <alignment vertical="center"/>
      <protection locked="0"/>
    </xf>
    <xf numFmtId="0" fontId="9" fillId="7" borderId="18" xfId="0" applyFont="1" applyFill="1" applyBorder="1" applyAlignment="1" applyProtection="1">
      <alignment horizontal="centerContinuous" vertical="center"/>
      <protection locked="0"/>
    </xf>
    <xf numFmtId="0" fontId="9" fillId="7" borderId="18" xfId="0" applyFont="1" applyFill="1" applyBorder="1" applyAlignment="1" applyProtection="1">
      <alignment horizontal="center" vertical="center"/>
      <protection locked="0"/>
    </xf>
    <xf numFmtId="0" fontId="9"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right" vertical="center"/>
      <protection locked="0"/>
    </xf>
    <xf numFmtId="0" fontId="23" fillId="5" borderId="18" xfId="0" applyFont="1" applyFill="1" applyBorder="1" applyAlignment="1" applyProtection="1">
      <alignment horizontal="centerContinuous" vertical="center"/>
      <protection locked="0"/>
    </xf>
    <xf numFmtId="171" fontId="23" fillId="5" borderId="18" xfId="0" applyNumberFormat="1" applyFont="1" applyFill="1" applyBorder="1" applyAlignment="1" applyProtection="1">
      <alignment horizontal="centerContinuous" vertical="center"/>
      <protection locked="0"/>
    </xf>
    <xf numFmtId="171" fontId="26" fillId="5" borderId="18" xfId="0" applyNumberFormat="1" applyFont="1" applyFill="1" applyBorder="1" applyAlignment="1" applyProtection="1">
      <alignment horizontal="centerContinuous" vertical="center"/>
      <protection locked="0"/>
    </xf>
    <xf numFmtId="171" fontId="23" fillId="5" borderId="20" xfId="0" applyNumberFormat="1" applyFont="1" applyFill="1" applyBorder="1" applyAlignment="1" applyProtection="1">
      <alignment horizontal="centerContinuous" vertical="center"/>
      <protection locked="0"/>
    </xf>
    <xf numFmtId="0" fontId="13" fillId="0" borderId="21" xfId="0" applyFont="1" applyBorder="1" applyProtection="1">
      <protection locked="0"/>
    </xf>
    <xf numFmtId="0" fontId="6" fillId="0" borderId="19" xfId="0" applyFont="1" applyBorder="1" applyAlignment="1" applyProtection="1">
      <alignment horizontal="left"/>
      <protection locked="0"/>
    </xf>
    <xf numFmtId="165" fontId="6" fillId="0" borderId="18" xfId="0" applyNumberFormat="1" applyFont="1" applyBorder="1" applyAlignment="1" applyProtection="1">
      <alignment horizontal="right"/>
      <protection locked="0"/>
    </xf>
    <xf numFmtId="165"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left"/>
      <protection locked="0"/>
    </xf>
    <xf numFmtId="0" fontId="6" fillId="0" borderId="18" xfId="0" applyFont="1" applyBorder="1" applyAlignment="1" applyProtection="1">
      <alignment horizontal="left"/>
      <protection locked="0"/>
    </xf>
    <xf numFmtId="0" fontId="6" fillId="0" borderId="18" xfId="0" applyFont="1" applyBorder="1" applyAlignment="1" applyProtection="1">
      <alignment horizontal="center"/>
      <protection locked="0"/>
    </xf>
    <xf numFmtId="13" fontId="6" fillId="0" borderId="20" xfId="0" applyNumberFormat="1" applyFont="1" applyBorder="1" applyAlignment="1" applyProtection="1">
      <alignment horizontal="left"/>
      <protection locked="0"/>
    </xf>
    <xf numFmtId="0" fontId="3" fillId="0" borderId="2" xfId="0" applyFont="1" applyBorder="1" applyProtection="1">
      <protection locked="0"/>
    </xf>
    <xf numFmtId="0" fontId="3" fillId="0" borderId="27" xfId="0" applyFont="1" applyBorder="1" applyAlignment="1" applyProtection="1">
      <alignment horizontal="centerContinuous"/>
      <protection locked="0"/>
    </xf>
    <xf numFmtId="0" fontId="3" fillId="0" borderId="2" xfId="0" applyFont="1" applyBorder="1" applyAlignment="1" applyProtection="1">
      <alignment horizontal="centerContinuous"/>
      <protection locked="0"/>
    </xf>
    <xf numFmtId="0" fontId="3" fillId="0" borderId="32" xfId="0" applyFont="1" applyBorder="1" applyAlignment="1" applyProtection="1">
      <alignment horizontal="centerContinuous"/>
      <protection locked="0"/>
    </xf>
    <xf numFmtId="0" fontId="3" fillId="0" borderId="37" xfId="0" applyFont="1" applyBorder="1" applyAlignment="1" applyProtection="1">
      <alignment horizontal="centerContinuous" wrapText="1"/>
      <protection locked="0"/>
    </xf>
    <xf numFmtId="0" fontId="6" fillId="0" borderId="0" xfId="0" applyFont="1" applyAlignment="1" applyProtection="1">
      <alignment horizontal="center"/>
      <protection locked="0"/>
    </xf>
    <xf numFmtId="0" fontId="6" fillId="0" borderId="0" xfId="0" applyFont="1" applyAlignment="1" applyProtection="1">
      <alignment horizontal="left"/>
      <protection locked="0"/>
    </xf>
    <xf numFmtId="0" fontId="27" fillId="0" borderId="2" xfId="0" applyFont="1" applyBorder="1" applyProtection="1">
      <protection locked="0"/>
    </xf>
    <xf numFmtId="171" fontId="27" fillId="0" borderId="2" xfId="0" applyNumberFormat="1" applyFont="1" applyBorder="1" applyProtection="1">
      <protection locked="0"/>
    </xf>
    <xf numFmtId="171" fontId="27" fillId="0" borderId="32" xfId="0" applyNumberFormat="1" applyFont="1" applyBorder="1" applyAlignment="1" applyProtection="1">
      <alignment horizontal="right"/>
      <protection locked="0"/>
    </xf>
    <xf numFmtId="165" fontId="6" fillId="0" borderId="0" xfId="0" applyNumberFormat="1" applyFont="1" applyAlignment="1" applyProtection="1">
      <alignment horizontal="right"/>
      <protection locked="0"/>
    </xf>
    <xf numFmtId="165" fontId="6" fillId="0" borderId="0" xfId="0" applyNumberFormat="1" applyFont="1" applyAlignment="1" applyProtection="1">
      <alignment horizontal="center"/>
      <protection locked="0"/>
    </xf>
    <xf numFmtId="166" fontId="6" fillId="0" borderId="0" xfId="0" applyNumberFormat="1" applyFont="1" applyAlignment="1" applyProtection="1">
      <alignment horizontal="center"/>
      <protection locked="0"/>
    </xf>
    <xf numFmtId="166" fontId="6" fillId="0" borderId="0" xfId="0" applyNumberFormat="1" applyFont="1" applyAlignment="1" applyProtection="1">
      <alignment horizontal="left"/>
      <protection locked="0"/>
    </xf>
    <xf numFmtId="0" fontId="11" fillId="0" borderId="0" xfId="0" applyFont="1" applyAlignment="1" applyProtection="1">
      <alignment horizontal="left"/>
      <protection locked="0"/>
    </xf>
    <xf numFmtId="0" fontId="6" fillId="0" borderId="22" xfId="0" applyFont="1" applyBorder="1" applyAlignment="1" applyProtection="1">
      <alignment horizontal="left"/>
      <protection locked="0"/>
    </xf>
    <xf numFmtId="0" fontId="27" fillId="0" borderId="0" xfId="0" applyFont="1" applyAlignment="1">
      <alignment horizontal="left" wrapText="1"/>
    </xf>
    <xf numFmtId="169" fontId="3" fillId="0" borderId="22" xfId="0" applyNumberFormat="1" applyFont="1" applyBorder="1" applyAlignment="1" applyProtection="1">
      <alignment horizontal="center"/>
      <protection locked="0"/>
    </xf>
    <xf numFmtId="0" fontId="3" fillId="0" borderId="15" xfId="0" applyFont="1" applyBorder="1" applyAlignment="1" applyProtection="1">
      <alignment horizontal="center"/>
      <protection locked="0"/>
    </xf>
    <xf numFmtId="0" fontId="20" fillId="0" borderId="15" xfId="0" applyFont="1" applyBorder="1" applyAlignment="1">
      <alignment horizontal="center"/>
    </xf>
    <xf numFmtId="0" fontId="6" fillId="0" borderId="23" xfId="0" applyFont="1" applyBorder="1" applyAlignment="1" applyProtection="1">
      <alignment horizontal="left"/>
      <protection locked="0"/>
    </xf>
    <xf numFmtId="165" fontId="6" fillId="0" borderId="24" xfId="0" applyNumberFormat="1" applyFont="1" applyBorder="1" applyAlignment="1" applyProtection="1">
      <alignment horizontal="right"/>
      <protection locked="0"/>
    </xf>
    <xf numFmtId="16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Continuous"/>
      <protection locked="0"/>
    </xf>
    <xf numFmtId="0" fontId="6" fillId="0" borderId="25" xfId="0" applyFont="1" applyBorder="1" applyAlignment="1" applyProtection="1">
      <alignment horizontal="left"/>
      <protection locked="0"/>
    </xf>
    <xf numFmtId="0" fontId="27" fillId="0" borderId="2" xfId="0" applyFont="1" applyBorder="1" applyAlignment="1">
      <alignment horizontal="centerContinuous" wrapText="1"/>
    </xf>
    <xf numFmtId="0" fontId="3" fillId="0" borderId="39" xfId="0" applyFont="1" applyBorder="1" applyAlignment="1" applyProtection="1">
      <alignment horizontal="center"/>
      <protection locked="0"/>
    </xf>
    <xf numFmtId="0" fontId="13" fillId="0" borderId="28" xfId="0" applyFont="1" applyBorder="1" applyProtection="1">
      <protection locked="0"/>
    </xf>
    <xf numFmtId="166" fontId="13" fillId="0" borderId="28" xfId="0" applyNumberFormat="1" applyFont="1" applyBorder="1" applyAlignment="1" applyProtection="1">
      <alignment horizontal="left"/>
      <protection locked="0"/>
    </xf>
    <xf numFmtId="166" fontId="13" fillId="0" borderId="27" xfId="0" applyNumberFormat="1" applyFont="1" applyBorder="1" applyAlignment="1" applyProtection="1">
      <alignment horizontal="left"/>
      <protection locked="0"/>
    </xf>
    <xf numFmtId="0" fontId="3" fillId="0" borderId="5" xfId="0" applyFont="1" applyBorder="1" applyAlignment="1" applyProtection="1">
      <alignment horizontal="left"/>
      <protection locked="0"/>
    </xf>
    <xf numFmtId="0" fontId="3" fillId="0" borderId="3" xfId="0" applyFont="1" applyBorder="1" applyAlignment="1" applyProtection="1">
      <alignment horizontal="center"/>
      <protection locked="0"/>
    </xf>
    <xf numFmtId="0" fontId="3" fillId="0" borderId="4" xfId="0" applyFont="1" applyBorder="1" applyAlignment="1" applyProtection="1">
      <alignment horizontal="center"/>
      <protection locked="0"/>
    </xf>
    <xf numFmtId="0" fontId="3" fillId="0" borderId="6" xfId="0" applyFont="1" applyBorder="1" applyAlignment="1" applyProtection="1">
      <alignment horizontal="center"/>
      <protection locked="0"/>
    </xf>
    <xf numFmtId="1" fontId="13" fillId="0" borderId="45" xfId="0" quotePrefix="1" applyNumberFormat="1" applyFont="1" applyBorder="1" applyAlignment="1" applyProtection="1">
      <alignment horizontal="center"/>
      <protection locked="0"/>
    </xf>
    <xf numFmtId="1" fontId="27" fillId="0" borderId="46" xfId="0" applyNumberFormat="1" applyFont="1" applyBorder="1" applyAlignment="1" applyProtection="1">
      <alignment horizontal="right"/>
      <protection locked="0"/>
    </xf>
    <xf numFmtId="1" fontId="27" fillId="0" borderId="46" xfId="0" applyNumberFormat="1" applyFont="1" applyBorder="1" applyAlignment="1" applyProtection="1">
      <alignment horizontal="center"/>
      <protection locked="0"/>
    </xf>
    <xf numFmtId="166" fontId="27" fillId="0" borderId="46" xfId="0" applyNumberFormat="1" applyFont="1" applyBorder="1" applyAlignment="1" applyProtection="1">
      <alignment horizontal="left"/>
      <protection locked="0"/>
    </xf>
    <xf numFmtId="13" fontId="6" fillId="0" borderId="0" xfId="0" applyNumberFormat="1" applyFont="1" applyAlignment="1" applyProtection="1">
      <alignment horizontal="left"/>
      <protection locked="0"/>
    </xf>
    <xf numFmtId="15" fontId="6" fillId="0" borderId="0" xfId="0" applyNumberFormat="1" applyFont="1" applyAlignment="1" applyProtection="1">
      <alignment horizontal="center"/>
      <protection locked="0"/>
    </xf>
    <xf numFmtId="15" fontId="6" fillId="0" borderId="0" xfId="0" applyNumberFormat="1" applyFont="1" applyAlignment="1" applyProtection="1">
      <alignment horizontal="centerContinuous"/>
      <protection locked="0"/>
    </xf>
    <xf numFmtId="14" fontId="3" fillId="0" borderId="39" xfId="0" applyNumberFormat="1" applyFont="1" applyBorder="1" applyAlignment="1">
      <alignment horizontal="left"/>
    </xf>
    <xf numFmtId="0" fontId="3" fillId="0" borderId="0" xfId="0" applyFont="1"/>
    <xf numFmtId="0" fontId="13" fillId="10" borderId="0" xfId="0" applyFont="1" applyFill="1" applyProtection="1">
      <protection locked="0"/>
    </xf>
    <xf numFmtId="0" fontId="21" fillId="10" borderId="18" xfId="0" applyFont="1" applyFill="1" applyBorder="1" applyAlignment="1">
      <alignment horizontal="left" vertical="center"/>
    </xf>
    <xf numFmtId="0" fontId="6" fillId="10" borderId="18" xfId="0" applyFont="1" applyFill="1" applyBorder="1" applyAlignment="1" applyProtection="1">
      <alignment horizontal="left"/>
      <protection locked="0"/>
    </xf>
    <xf numFmtId="0" fontId="3" fillId="10" borderId="0" xfId="0" applyFont="1" applyFill="1" applyAlignment="1" applyProtection="1">
      <alignment horizontal="left" vertical="center" wrapText="1"/>
      <protection locked="0"/>
    </xf>
    <xf numFmtId="0" fontId="7" fillId="10" borderId="0" xfId="0" applyFont="1" applyFill="1" applyProtection="1">
      <protection locked="0"/>
    </xf>
    <xf numFmtId="0" fontId="12" fillId="10" borderId="24" xfId="0" applyFont="1" applyFill="1" applyBorder="1" applyAlignment="1" applyProtection="1">
      <alignment horizontal="left"/>
      <protection locked="0"/>
    </xf>
    <xf numFmtId="0" fontId="6" fillId="10" borderId="0" xfId="0" applyFont="1" applyFill="1" applyAlignment="1" applyProtection="1">
      <alignment horizontal="left"/>
      <protection locked="0"/>
    </xf>
    <xf numFmtId="0" fontId="6" fillId="10" borderId="24" xfId="0" applyFont="1" applyFill="1" applyBorder="1" applyAlignment="1" applyProtection="1">
      <alignment horizontal="left"/>
      <protection locked="0"/>
    </xf>
    <xf numFmtId="0" fontId="3" fillId="10" borderId="39" xfId="0" applyFont="1" applyFill="1" applyBorder="1"/>
    <xf numFmtId="0" fontId="3" fillId="10" borderId="17" xfId="0" applyFont="1" applyFill="1" applyBorder="1" applyAlignment="1" applyProtection="1">
      <alignment horizontal="center"/>
      <protection locked="0"/>
    </xf>
    <xf numFmtId="0" fontId="3" fillId="10" borderId="40" xfId="0" applyFont="1" applyFill="1" applyBorder="1" applyAlignment="1" applyProtection="1">
      <alignment horizontal="centerContinuous"/>
      <protection locked="0"/>
    </xf>
    <xf numFmtId="0" fontId="3" fillId="10" borderId="15" xfId="0" applyFont="1" applyFill="1" applyBorder="1" applyAlignment="1" applyProtection="1">
      <alignment horizontal="center"/>
      <protection locked="0"/>
    </xf>
    <xf numFmtId="0" fontId="3" fillId="10" borderId="39" xfId="0" applyFont="1" applyFill="1" applyBorder="1" applyAlignment="1" applyProtection="1">
      <alignment horizontal="center"/>
      <protection locked="0"/>
    </xf>
    <xf numFmtId="0" fontId="3" fillId="10" borderId="32" xfId="0" applyFont="1" applyFill="1" applyBorder="1" applyAlignment="1" applyProtection="1">
      <alignment horizontal="left" vertical="center" wrapText="1"/>
      <protection locked="0"/>
    </xf>
    <xf numFmtId="0" fontId="3" fillId="10" borderId="2" xfId="0" applyFont="1" applyFill="1" applyBorder="1" applyAlignment="1" applyProtection="1">
      <alignment horizontal="center"/>
      <protection locked="0"/>
    </xf>
    <xf numFmtId="0" fontId="3" fillId="10" borderId="16" xfId="0" applyFont="1" applyFill="1" applyBorder="1" applyAlignment="1" applyProtection="1">
      <alignment horizontal="center" vertical="center" wrapText="1"/>
      <protection locked="0"/>
    </xf>
    <xf numFmtId="0" fontId="3" fillId="10" borderId="41" xfId="0" applyFont="1" applyFill="1" applyBorder="1" applyAlignment="1" applyProtection="1">
      <alignment horizontal="center" vertical="center" wrapText="1"/>
      <protection locked="0"/>
    </xf>
    <xf numFmtId="0" fontId="3" fillId="10" borderId="4" xfId="0" applyFont="1" applyFill="1" applyBorder="1" applyAlignment="1" applyProtection="1">
      <alignment horizontal="center" vertical="center" wrapText="1"/>
      <protection locked="0"/>
    </xf>
    <xf numFmtId="0" fontId="3" fillId="10" borderId="9" xfId="0" applyFont="1" applyFill="1" applyBorder="1" applyAlignment="1" applyProtection="1">
      <alignment horizontal="center" vertical="center" wrapText="1"/>
      <protection locked="0"/>
    </xf>
    <xf numFmtId="0" fontId="3" fillId="10" borderId="2" xfId="0" applyFont="1" applyFill="1" applyBorder="1" applyAlignment="1" applyProtection="1">
      <alignment horizontal="centerContinuous"/>
      <protection locked="0"/>
    </xf>
    <xf numFmtId="0" fontId="8" fillId="7" borderId="20" xfId="0" applyFont="1" applyFill="1" applyBorder="1" applyAlignment="1" applyProtection="1">
      <alignment horizontal="left" vertical="center" wrapText="1"/>
      <protection locked="0"/>
    </xf>
    <xf numFmtId="0" fontId="9" fillId="7" borderId="18" xfId="0" applyFont="1" applyFill="1" applyBorder="1" applyAlignment="1" applyProtection="1">
      <alignment vertical="center"/>
      <protection locked="0"/>
    </xf>
    <xf numFmtId="0" fontId="8" fillId="8" borderId="19" xfId="0" applyFont="1" applyFill="1" applyBorder="1" applyAlignment="1" applyProtection="1">
      <alignment horizontal="center" vertical="center"/>
      <protection locked="0"/>
    </xf>
    <xf numFmtId="0" fontId="3" fillId="10" borderId="21" xfId="0" applyFont="1" applyFill="1" applyBorder="1" applyAlignment="1" applyProtection="1">
      <alignment horizontal="centerContinuous"/>
      <protection locked="0"/>
    </xf>
    <xf numFmtId="0" fontId="3" fillId="10" borderId="37" xfId="0" applyFont="1" applyFill="1" applyBorder="1" applyAlignment="1" applyProtection="1">
      <alignment horizontal="centerContinuous"/>
      <protection locked="0"/>
    </xf>
    <xf numFmtId="0" fontId="3" fillId="10" borderId="27" xfId="0" applyFont="1" applyFill="1" applyBorder="1" applyAlignment="1" applyProtection="1">
      <alignment horizontal="centerContinuous"/>
      <protection locked="0"/>
    </xf>
    <xf numFmtId="0" fontId="3" fillId="10" borderId="32" xfId="0" applyFont="1" applyFill="1" applyBorder="1" applyAlignment="1" applyProtection="1">
      <alignment horizontal="centerContinuous"/>
      <protection locked="0"/>
    </xf>
    <xf numFmtId="0" fontId="6" fillId="10" borderId="0" xfId="0" applyFont="1" applyFill="1" applyAlignment="1" applyProtection="1">
      <alignment horizontal="center"/>
      <protection locked="0"/>
    </xf>
    <xf numFmtId="167" fontId="7" fillId="10" borderId="22" xfId="2" applyNumberFormat="1" applyFont="1" applyFill="1" applyBorder="1" applyAlignment="1" applyProtection="1">
      <alignment horizontal="centerContinuous"/>
      <protection locked="0"/>
    </xf>
    <xf numFmtId="0" fontId="3" fillId="10" borderId="33" xfId="0" applyFont="1" applyFill="1" applyBorder="1" applyAlignment="1" applyProtection="1">
      <alignment horizontal="centerContinuous"/>
      <protection locked="0"/>
    </xf>
    <xf numFmtId="0" fontId="28" fillId="10" borderId="21" xfId="0" applyFont="1" applyFill="1" applyBorder="1" applyAlignment="1" applyProtection="1">
      <alignment horizontal="left" vertical="center"/>
      <protection locked="0"/>
    </xf>
    <xf numFmtId="9" fontId="7" fillId="10" borderId="2" xfId="0" applyNumberFormat="1" applyFont="1" applyFill="1" applyBorder="1" applyAlignment="1" applyProtection="1">
      <alignment horizontal="center"/>
      <protection locked="0"/>
    </xf>
    <xf numFmtId="0" fontId="7" fillId="10" borderId="32" xfId="0" applyFont="1" applyFill="1" applyBorder="1" applyAlignment="1" applyProtection="1">
      <alignment horizontal="center"/>
      <protection locked="0"/>
    </xf>
    <xf numFmtId="9" fontId="28" fillId="10" borderId="2" xfId="0" applyNumberFormat="1" applyFont="1" applyFill="1" applyBorder="1" applyAlignment="1" applyProtection="1">
      <alignment horizontal="left"/>
      <protection locked="0"/>
    </xf>
    <xf numFmtId="9" fontId="7" fillId="10" borderId="0" xfId="0" applyNumberFormat="1" applyFont="1" applyFill="1" applyAlignment="1" applyProtection="1">
      <alignment horizontal="center"/>
      <protection locked="0"/>
    </xf>
    <xf numFmtId="0" fontId="7" fillId="10" borderId="22" xfId="0" applyFont="1" applyFill="1" applyBorder="1" applyAlignment="1" applyProtection="1">
      <alignment horizontal="center"/>
      <protection locked="0"/>
    </xf>
    <xf numFmtId="167" fontId="7" fillId="10" borderId="20" xfId="2" applyNumberFormat="1" applyFont="1" applyFill="1" applyBorder="1" applyAlignment="1" applyProtection="1">
      <alignment horizontal="centerContinuous"/>
      <protection locked="0"/>
    </xf>
    <xf numFmtId="167" fontId="4" fillId="10" borderId="20" xfId="2" applyNumberFormat="1" applyFont="1" applyFill="1" applyBorder="1" applyAlignment="1" applyProtection="1">
      <alignment horizontal="centerContinuous"/>
      <protection locked="0"/>
    </xf>
    <xf numFmtId="9" fontId="28" fillId="10" borderId="18" xfId="1" applyFont="1" applyFill="1" applyBorder="1" applyAlignment="1" applyProtection="1">
      <alignment horizontal="right"/>
      <protection locked="0"/>
    </xf>
    <xf numFmtId="9" fontId="28" fillId="10" borderId="18" xfId="1" applyFont="1" applyFill="1" applyBorder="1" applyAlignment="1" applyProtection="1">
      <alignment horizontal="right"/>
    </xf>
    <xf numFmtId="9" fontId="28" fillId="10" borderId="20" xfId="1" applyFont="1" applyFill="1" applyBorder="1" applyAlignment="1" applyProtection="1">
      <alignment horizontal="left"/>
      <protection locked="0"/>
    </xf>
    <xf numFmtId="0" fontId="7" fillId="10" borderId="38" xfId="0" applyFont="1" applyFill="1" applyBorder="1" applyAlignment="1" applyProtection="1">
      <alignment horizontal="center"/>
      <protection locked="0"/>
    </xf>
    <xf numFmtId="0" fontId="7" fillId="10" borderId="22" xfId="0" applyFont="1" applyFill="1" applyBorder="1" applyAlignment="1" applyProtection="1">
      <alignment horizontal="center" vertical="center" wrapText="1"/>
      <protection locked="0"/>
    </xf>
    <xf numFmtId="0" fontId="3" fillId="10" borderId="0" xfId="0" applyFont="1" applyFill="1" applyAlignment="1" applyProtection="1">
      <alignment horizontal="center" vertical="center"/>
      <protection locked="0"/>
    </xf>
    <xf numFmtId="0" fontId="7" fillId="10" borderId="22" xfId="0" applyFont="1" applyFill="1" applyBorder="1" applyAlignment="1" applyProtection="1">
      <alignment vertical="center" wrapText="1"/>
      <protection locked="0"/>
    </xf>
    <xf numFmtId="0" fontId="7" fillId="10" borderId="4" xfId="0" applyFont="1" applyFill="1" applyBorder="1" applyAlignment="1" applyProtection="1">
      <alignment horizontal="center"/>
      <protection locked="0"/>
    </xf>
    <xf numFmtId="0" fontId="7" fillId="10" borderId="3" xfId="0" applyFont="1" applyFill="1" applyBorder="1" applyAlignment="1" applyProtection="1">
      <alignment horizontal="center"/>
      <protection locked="0"/>
    </xf>
    <xf numFmtId="14" fontId="7" fillId="10" borderId="9" xfId="0" quotePrefix="1" applyNumberFormat="1" applyFont="1" applyFill="1" applyBorder="1" applyAlignment="1" applyProtection="1">
      <alignment horizontal="center" vertical="center"/>
      <protection locked="0"/>
    </xf>
    <xf numFmtId="0" fontId="7" fillId="10" borderId="9" xfId="0" applyFont="1" applyFill="1" applyBorder="1" applyAlignment="1" applyProtection="1">
      <alignment horizontal="left" vertical="center"/>
      <protection locked="0"/>
    </xf>
    <xf numFmtId="0" fontId="7" fillId="10" borderId="22" xfId="0" applyFont="1" applyFill="1" applyBorder="1" applyAlignment="1" applyProtection="1">
      <alignment horizontal="centerContinuous"/>
      <protection locked="0"/>
    </xf>
    <xf numFmtId="0" fontId="7" fillId="10" borderId="22" xfId="2" applyNumberFormat="1" applyFont="1" applyFill="1" applyBorder="1" applyAlignment="1" applyProtection="1">
      <protection locked="0"/>
    </xf>
    <xf numFmtId="0" fontId="28" fillId="10" borderId="2" xfId="0" applyFont="1" applyFill="1" applyBorder="1" applyAlignment="1" applyProtection="1">
      <alignment horizontal="left"/>
      <protection locked="0"/>
    </xf>
    <xf numFmtId="0" fontId="7" fillId="10" borderId="2" xfId="0" applyFont="1" applyFill="1" applyBorder="1" applyAlignment="1" applyProtection="1">
      <alignment horizontal="center"/>
      <protection locked="0"/>
    </xf>
    <xf numFmtId="9" fontId="7" fillId="10" borderId="22" xfId="0" applyNumberFormat="1" applyFont="1" applyFill="1" applyBorder="1" applyAlignment="1" applyProtection="1">
      <alignment horizontal="center"/>
      <protection locked="0"/>
    </xf>
    <xf numFmtId="9" fontId="28" fillId="10" borderId="23" xfId="0" applyNumberFormat="1" applyFont="1" applyFill="1" applyBorder="1" applyAlignment="1" applyProtection="1">
      <alignment horizontal="left"/>
      <protection locked="0"/>
    </xf>
    <xf numFmtId="9" fontId="7" fillId="10" borderId="24" xfId="0" applyNumberFormat="1" applyFont="1" applyFill="1" applyBorder="1" applyAlignment="1" applyProtection="1">
      <alignment horizontal="center"/>
      <protection locked="0"/>
    </xf>
    <xf numFmtId="0" fontId="7" fillId="10" borderId="24" xfId="0" applyFont="1" applyFill="1" applyBorder="1" applyAlignment="1" applyProtection="1">
      <alignment horizontal="centerContinuous"/>
      <protection locked="0"/>
    </xf>
    <xf numFmtId="170" fontId="7" fillId="10" borderId="24" xfId="0" applyNumberFormat="1" applyFont="1" applyFill="1" applyBorder="1" applyAlignment="1" applyProtection="1">
      <alignment horizontal="centerContinuous"/>
      <protection locked="0"/>
    </xf>
    <xf numFmtId="0" fontId="7" fillId="10" borderId="25" xfId="0" applyFont="1" applyFill="1" applyBorder="1" applyAlignment="1" applyProtection="1">
      <alignment horizontal="center"/>
      <protection locked="0"/>
    </xf>
    <xf numFmtId="9" fontId="3" fillId="10" borderId="18" xfId="1" applyFont="1" applyFill="1" applyBorder="1" applyAlignment="1" applyProtection="1">
      <alignment horizontal="right"/>
      <protection locked="0"/>
    </xf>
    <xf numFmtId="0" fontId="3" fillId="10" borderId="0" xfId="0" applyFont="1" applyFill="1" applyAlignment="1" applyProtection="1">
      <alignment horizontal="left"/>
      <protection locked="0"/>
    </xf>
    <xf numFmtId="0" fontId="4" fillId="10" borderId="0" xfId="0" applyFont="1" applyFill="1" applyAlignment="1" applyProtection="1">
      <alignment horizontal="center"/>
      <protection locked="0"/>
    </xf>
    <xf numFmtId="0" fontId="3" fillId="10" borderId="0" xfId="0" applyFont="1" applyFill="1" applyAlignment="1" applyProtection="1">
      <alignment horizontal="center"/>
      <protection locked="0"/>
    </xf>
    <xf numFmtId="0" fontId="3" fillId="10" borderId="0" xfId="0" applyFont="1" applyFill="1" applyAlignment="1" applyProtection="1">
      <alignment vertical="center" wrapText="1"/>
      <protection locked="0"/>
    </xf>
    <xf numFmtId="0" fontId="3" fillId="10" borderId="0" xfId="0" applyFont="1" applyFill="1" applyAlignment="1" applyProtection="1">
      <alignment horizontal="left" vertical="center"/>
      <protection locked="0"/>
    </xf>
    <xf numFmtId="0" fontId="7" fillId="10" borderId="32" xfId="0" applyFont="1" applyFill="1" applyBorder="1" applyAlignment="1" applyProtection="1">
      <alignment horizontal="center" vertical="center" wrapText="1"/>
      <protection locked="0"/>
    </xf>
    <xf numFmtId="0" fontId="6" fillId="10" borderId="0" xfId="0" applyFont="1" applyFill="1" applyAlignment="1" applyProtection="1">
      <alignment horizontal="centerContinuous"/>
      <protection locked="0"/>
    </xf>
    <xf numFmtId="0" fontId="6" fillId="10" borderId="0" xfId="0" applyFont="1" applyFill="1" applyAlignment="1" applyProtection="1">
      <alignment horizontal="centerContinuous" vertical="center"/>
      <protection locked="0"/>
    </xf>
    <xf numFmtId="0" fontId="28" fillId="10" borderId="23" xfId="0" applyFont="1" applyFill="1" applyBorder="1" applyAlignment="1" applyProtection="1">
      <alignment horizontal="left"/>
      <protection locked="0"/>
    </xf>
    <xf numFmtId="0" fontId="28" fillId="10" borderId="24" xfId="0" applyFont="1" applyFill="1" applyBorder="1" applyAlignment="1" applyProtection="1">
      <alignment horizontal="center"/>
      <protection locked="0"/>
    </xf>
    <xf numFmtId="0" fontId="3" fillId="10" borderId="24" xfId="0" applyFont="1" applyFill="1" applyBorder="1" applyAlignment="1" applyProtection="1">
      <alignment horizontal="center"/>
      <protection locked="0"/>
    </xf>
    <xf numFmtId="9" fontId="28" fillId="10" borderId="24" xfId="0" applyNumberFormat="1" applyFont="1" applyFill="1" applyBorder="1" applyAlignment="1" applyProtection="1">
      <alignment horizontal="left"/>
      <protection locked="0"/>
    </xf>
    <xf numFmtId="0" fontId="7" fillId="10" borderId="25" xfId="0" applyFont="1" applyFill="1" applyBorder="1" applyAlignment="1" applyProtection="1">
      <alignment horizontal="centerContinuous"/>
      <protection locked="0"/>
    </xf>
    <xf numFmtId="0" fontId="3" fillId="10" borderId="19" xfId="0" applyFont="1" applyFill="1" applyBorder="1" applyAlignment="1" applyProtection="1">
      <alignment horizontal="left"/>
      <protection locked="0"/>
    </xf>
    <xf numFmtId="0" fontId="3" fillId="10" borderId="18" xfId="0" applyFont="1" applyFill="1" applyBorder="1" applyAlignment="1" applyProtection="1">
      <alignment horizontal="centerContinuous"/>
      <protection locked="0"/>
    </xf>
    <xf numFmtId="0" fontId="3" fillId="10" borderId="18" xfId="0" applyFont="1" applyFill="1" applyBorder="1" applyAlignment="1" applyProtection="1">
      <alignment horizontal="center"/>
      <protection locked="0"/>
    </xf>
    <xf numFmtId="9" fontId="3" fillId="10" borderId="20" xfId="1" applyFont="1" applyFill="1" applyBorder="1" applyAlignment="1" applyProtection="1">
      <alignment horizontal="left"/>
      <protection locked="0"/>
    </xf>
    <xf numFmtId="0" fontId="3" fillId="10" borderId="0" xfId="0" applyFont="1" applyFill="1" applyProtection="1">
      <protection locked="0"/>
    </xf>
    <xf numFmtId="9" fontId="3" fillId="10" borderId="22" xfId="0" applyNumberFormat="1" applyFont="1" applyFill="1" applyBorder="1" applyAlignment="1" applyProtection="1">
      <alignment horizontal="center"/>
      <protection locked="0"/>
    </xf>
    <xf numFmtId="0" fontId="3" fillId="10" borderId="0" xfId="0" applyFont="1" applyFill="1" applyAlignment="1" applyProtection="1">
      <alignment vertical="center"/>
      <protection locked="0"/>
    </xf>
    <xf numFmtId="0" fontId="3" fillId="10" borderId="27" xfId="0" applyFont="1" applyFill="1" applyBorder="1" applyAlignment="1" applyProtection="1">
      <alignment horizontal="centerContinuous" vertical="center"/>
      <protection locked="0"/>
    </xf>
    <xf numFmtId="0" fontId="3" fillId="10" borderId="22" xfId="0" applyFont="1" applyFill="1" applyBorder="1" applyAlignment="1" applyProtection="1">
      <alignment horizontal="center" vertical="center" wrapText="1"/>
      <protection locked="0"/>
    </xf>
    <xf numFmtId="9" fontId="6" fillId="10" borderId="52" xfId="0" applyNumberFormat="1" applyFont="1" applyFill="1" applyBorder="1" applyAlignment="1" applyProtection="1">
      <alignment horizontal="centerContinuous"/>
      <protection locked="0"/>
    </xf>
    <xf numFmtId="9" fontId="28" fillId="10" borderId="53" xfId="0" applyNumberFormat="1" applyFont="1" applyFill="1" applyBorder="1" applyAlignment="1" applyProtection="1">
      <alignment horizontal="centerContinuous"/>
      <protection locked="0"/>
    </xf>
    <xf numFmtId="9" fontId="3" fillId="10" borderId="55" xfId="1" applyFont="1" applyFill="1" applyBorder="1" applyAlignment="1" applyProtection="1">
      <alignment horizontal="centerContinuous" vertical="center"/>
      <protection locked="0"/>
    </xf>
    <xf numFmtId="9" fontId="3" fillId="10" borderId="56" xfId="1" applyFont="1" applyFill="1" applyBorder="1" applyAlignment="1" applyProtection="1">
      <alignment horizontal="centerContinuous" vertical="center"/>
      <protection locked="0"/>
    </xf>
    <xf numFmtId="9" fontId="3" fillId="10" borderId="57" xfId="1" applyFont="1" applyFill="1" applyBorder="1" applyAlignment="1" applyProtection="1">
      <alignment horizontal="centerContinuous" vertical="center"/>
      <protection locked="0"/>
    </xf>
    <xf numFmtId="0" fontId="8" fillId="11" borderId="18" xfId="0" applyFont="1" applyFill="1" applyBorder="1" applyAlignment="1" applyProtection="1">
      <alignment horizontal="centerContinuous" vertical="center"/>
      <protection locked="0"/>
    </xf>
    <xf numFmtId="0" fontId="9" fillId="11" borderId="18" xfId="0" applyFont="1" applyFill="1" applyBorder="1" applyAlignment="1" applyProtection="1">
      <alignment horizontal="centerContinuous" vertical="center"/>
      <protection locked="0"/>
    </xf>
    <xf numFmtId="0" fontId="9" fillId="11" borderId="20" xfId="0" applyFont="1" applyFill="1" applyBorder="1" applyAlignment="1" applyProtection="1">
      <alignment horizontal="centerContinuous" vertical="center"/>
      <protection locked="0"/>
    </xf>
    <xf numFmtId="0" fontId="8" fillId="8" borderId="18" xfId="0" applyFont="1" applyFill="1" applyBorder="1" applyAlignment="1" applyProtection="1">
      <alignment horizontal="left" vertical="center"/>
      <protection locked="0"/>
    </xf>
    <xf numFmtId="0" fontId="8" fillId="8" borderId="18" xfId="0" applyFont="1" applyFill="1" applyBorder="1" applyAlignment="1" applyProtection="1">
      <alignment horizontal="centerContinuous" vertical="center"/>
      <protection locked="0"/>
    </xf>
    <xf numFmtId="0" fontId="9" fillId="8" borderId="18" xfId="0" applyFont="1" applyFill="1" applyBorder="1" applyAlignment="1" applyProtection="1">
      <alignment horizontal="centerContinuous" vertical="center"/>
      <protection locked="0"/>
    </xf>
    <xf numFmtId="0" fontId="9" fillId="8" borderId="20" xfId="0" applyFont="1" applyFill="1" applyBorder="1" applyAlignment="1" applyProtection="1">
      <alignment horizontal="centerContinuous" vertical="center"/>
      <protection locked="0"/>
    </xf>
    <xf numFmtId="0" fontId="9" fillId="2" borderId="19" xfId="0" applyFont="1" applyFill="1" applyBorder="1" applyAlignment="1" applyProtection="1">
      <alignment horizontal="left" vertical="center"/>
      <protection locked="0"/>
    </xf>
    <xf numFmtId="0" fontId="9" fillId="2" borderId="18" xfId="0" applyFont="1" applyFill="1" applyBorder="1" applyAlignment="1" applyProtection="1">
      <alignment horizontal="left" vertical="center"/>
      <protection locked="0"/>
    </xf>
    <xf numFmtId="0" fontId="24"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 vertical="center"/>
      <protection locked="0"/>
    </xf>
    <xf numFmtId="0" fontId="25" fillId="2" borderId="18" xfId="0" applyFont="1" applyFill="1" applyBorder="1" applyAlignment="1" applyProtection="1">
      <alignment horizontal="center" vertical="center"/>
      <protection locked="0"/>
    </xf>
    <xf numFmtId="0" fontId="8"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Continuous" vertical="center"/>
      <protection locked="0"/>
    </xf>
    <xf numFmtId="0" fontId="9" fillId="2" borderId="18" xfId="0" applyFont="1" applyFill="1" applyBorder="1" applyAlignment="1" applyProtection="1">
      <alignment vertical="center"/>
      <protection locked="0"/>
    </xf>
    <xf numFmtId="170" fontId="9" fillId="2" borderId="18" xfId="0" applyNumberFormat="1" applyFont="1" applyFill="1" applyBorder="1" applyAlignment="1" applyProtection="1">
      <alignment horizontal="centerContinuous" vertical="center"/>
      <protection locked="0"/>
    </xf>
    <xf numFmtId="0" fontId="8" fillId="2" borderId="18" xfId="0" applyFont="1" applyFill="1" applyBorder="1" applyAlignment="1" applyProtection="1">
      <alignment vertical="center"/>
      <protection locked="0"/>
    </xf>
    <xf numFmtId="0" fontId="24" fillId="2" borderId="18" xfId="0" applyFont="1" applyFill="1" applyBorder="1" applyAlignment="1" applyProtection="1">
      <alignment horizontal="centerContinuous" vertical="center"/>
      <protection locked="0"/>
    </xf>
    <xf numFmtId="0" fontId="9" fillId="2" borderId="54" xfId="0" applyFont="1" applyFill="1" applyBorder="1" applyAlignment="1" applyProtection="1">
      <alignment horizontal="center" vertical="center"/>
      <protection locked="0"/>
    </xf>
    <xf numFmtId="0" fontId="8" fillId="12" borderId="18" xfId="0" applyFont="1" applyFill="1" applyBorder="1" applyAlignment="1" applyProtection="1">
      <alignment horizontal="centerContinuous" vertical="center"/>
      <protection locked="0"/>
    </xf>
    <xf numFmtId="0" fontId="9" fillId="12" borderId="18" xfId="0" applyFont="1" applyFill="1" applyBorder="1" applyAlignment="1" applyProtection="1">
      <alignment horizontal="centerContinuous" vertical="center"/>
      <protection locked="0"/>
    </xf>
    <xf numFmtId="0" fontId="9" fillId="12" borderId="20" xfId="0" applyFont="1" applyFill="1" applyBorder="1" applyAlignment="1" applyProtection="1">
      <alignment horizontal="centerContinuous" vertical="center"/>
      <protection locked="0"/>
    </xf>
    <xf numFmtId="0" fontId="31" fillId="10" borderId="0" xfId="0" applyFont="1" applyFill="1" applyAlignment="1" applyProtection="1">
      <alignment horizontal="center"/>
      <protection locked="0"/>
    </xf>
    <xf numFmtId="0" fontId="32" fillId="10" borderId="2" xfId="0" applyFont="1" applyFill="1" applyBorder="1" applyAlignment="1" applyProtection="1">
      <alignment horizontal="center"/>
      <protection locked="0"/>
    </xf>
    <xf numFmtId="0" fontId="31" fillId="10" borderId="15" xfId="0" applyFont="1" applyFill="1" applyBorder="1" applyAlignment="1">
      <alignment horizontal="center"/>
    </xf>
    <xf numFmtId="0" fontId="31" fillId="10" borderId="16" xfId="0" applyFont="1" applyFill="1" applyBorder="1" applyAlignment="1">
      <alignment horizontal="center"/>
    </xf>
    <xf numFmtId="0" fontId="31" fillId="10" borderId="39" xfId="0" applyFont="1" applyFill="1" applyBorder="1" applyAlignment="1" applyProtection="1">
      <alignment horizontal="center"/>
      <protection locked="0"/>
    </xf>
    <xf numFmtId="0" fontId="31" fillId="10" borderId="41" xfId="0" applyFont="1" applyFill="1" applyBorder="1" applyAlignment="1" applyProtection="1">
      <alignment horizontal="center"/>
      <protection locked="0"/>
    </xf>
    <xf numFmtId="0" fontId="31" fillId="10" borderId="39" xfId="0" applyFont="1" applyFill="1" applyBorder="1" applyAlignment="1" applyProtection="1">
      <alignment horizontal="center" textRotation="90"/>
      <protection locked="0"/>
    </xf>
    <xf numFmtId="0" fontId="31" fillId="10" borderId="41" xfId="0" applyFont="1" applyFill="1" applyBorder="1" applyAlignment="1" applyProtection="1">
      <alignment horizontal="center" textRotation="90"/>
      <protection locked="0"/>
    </xf>
    <xf numFmtId="0" fontId="32" fillId="10" borderId="3" xfId="0" applyFont="1" applyFill="1" applyBorder="1" applyAlignment="1" applyProtection="1">
      <alignment horizontal="center"/>
      <protection locked="0"/>
    </xf>
    <xf numFmtId="0" fontId="32" fillId="10" borderId="4" xfId="0" applyFont="1" applyFill="1" applyBorder="1" applyAlignment="1" applyProtection="1">
      <alignment horizontal="center"/>
      <protection locked="0"/>
    </xf>
    <xf numFmtId="0" fontId="31" fillId="10" borderId="36" xfId="0" quotePrefix="1" applyFont="1" applyFill="1" applyBorder="1" applyAlignment="1" applyProtection="1">
      <alignment horizontal="center"/>
      <protection locked="0"/>
    </xf>
    <xf numFmtId="0" fontId="31" fillId="10" borderId="48" xfId="0" quotePrefix="1" applyFont="1" applyFill="1" applyBorder="1" applyAlignment="1" applyProtection="1">
      <alignment horizontal="center"/>
      <protection locked="0"/>
    </xf>
    <xf numFmtId="1" fontId="31" fillId="10" borderId="8" xfId="0" applyNumberFormat="1" applyFont="1" applyFill="1" applyBorder="1" applyAlignment="1" applyProtection="1">
      <alignment horizontal="center" vertical="center"/>
      <protection locked="0"/>
    </xf>
    <xf numFmtId="0" fontId="3" fillId="10" borderId="22" xfId="0" applyFont="1" applyFill="1" applyBorder="1" applyAlignment="1" applyProtection="1">
      <alignment horizontal="left"/>
      <protection locked="0"/>
    </xf>
    <xf numFmtId="0" fontId="30" fillId="8" borderId="18" xfId="0" applyFont="1" applyFill="1" applyBorder="1" applyAlignment="1" applyProtection="1">
      <alignment horizontal="center" vertical="center"/>
      <protection locked="0"/>
    </xf>
    <xf numFmtId="0" fontId="9" fillId="8" borderId="18" xfId="0" applyFont="1" applyFill="1" applyBorder="1" applyAlignment="1" applyProtection="1">
      <alignment vertical="center"/>
      <protection locked="0"/>
    </xf>
    <xf numFmtId="0" fontId="8" fillId="8" borderId="18" xfId="0" applyFont="1" applyFill="1" applyBorder="1" applyAlignment="1" applyProtection="1">
      <alignment vertical="center"/>
      <protection locked="0"/>
    </xf>
    <xf numFmtId="0" fontId="9" fillId="8" borderId="18" xfId="0" applyFont="1" applyFill="1" applyBorder="1" applyAlignment="1" applyProtection="1">
      <alignment horizontal="left" vertical="center"/>
      <protection locked="0"/>
    </xf>
    <xf numFmtId="49" fontId="6" fillId="0" borderId="21" xfId="0" applyNumberFormat="1" applyFont="1" applyBorder="1" applyAlignment="1" applyProtection="1">
      <alignment horizontal="left"/>
      <protection locked="0"/>
    </xf>
    <xf numFmtId="49" fontId="6" fillId="0" borderId="0" xfId="0" applyNumberFormat="1" applyFont="1" applyAlignment="1" applyProtection="1">
      <alignment horizontal="right"/>
      <protection locked="0"/>
    </xf>
    <xf numFmtId="49" fontId="6" fillId="0" borderId="0" xfId="0" applyNumberFormat="1" applyFont="1" applyAlignment="1" applyProtection="1">
      <alignment horizontal="center"/>
      <protection locked="0"/>
    </xf>
    <xf numFmtId="49" fontId="6" fillId="0" borderId="0" xfId="0" applyNumberFormat="1" applyFont="1" applyAlignment="1" applyProtection="1">
      <alignment horizontal="left"/>
      <protection locked="0"/>
    </xf>
    <xf numFmtId="49" fontId="11" fillId="0" borderId="0" xfId="0" applyNumberFormat="1" applyFont="1" applyAlignment="1" applyProtection="1">
      <alignment horizontal="left"/>
      <protection locked="0"/>
    </xf>
    <xf numFmtId="49" fontId="8" fillId="4" borderId="18" xfId="0" applyNumberFormat="1" applyFont="1" applyFill="1" applyBorder="1" applyAlignment="1" applyProtection="1">
      <alignment horizontal="centerContinuous" vertical="center"/>
      <protection locked="0"/>
    </xf>
    <xf numFmtId="13" fontId="22" fillId="0" borderId="18" xfId="0" applyNumberFormat="1" applyFont="1" applyBorder="1" applyAlignment="1">
      <alignment horizontal="left" vertical="center"/>
    </xf>
    <xf numFmtId="13" fontId="11" fillId="0" borderId="18" xfId="0" applyNumberFormat="1" applyFont="1" applyBorder="1" applyAlignment="1" applyProtection="1">
      <alignment horizontal="left"/>
      <protection locked="0"/>
    </xf>
    <xf numFmtId="0" fontId="11" fillId="0" borderId="24" xfId="0" applyFont="1" applyBorder="1" applyAlignment="1" applyProtection="1">
      <alignment horizontal="left"/>
      <protection locked="0"/>
    </xf>
    <xf numFmtId="0" fontId="3" fillId="13" borderId="16" xfId="0" applyFont="1" applyFill="1" applyBorder="1" applyAlignment="1" applyProtection="1">
      <alignment horizontal="center" vertical="center" wrapText="1"/>
      <protection locked="0"/>
    </xf>
    <xf numFmtId="0" fontId="32" fillId="13" borderId="15" xfId="0" applyFont="1" applyFill="1" applyBorder="1" applyAlignment="1" applyProtection="1">
      <alignment horizontal="center"/>
      <protection locked="0"/>
    </xf>
    <xf numFmtId="0" fontId="32" fillId="13" borderId="16" xfId="0" applyFont="1" applyFill="1" applyBorder="1" applyAlignment="1" applyProtection="1">
      <alignment horizontal="center"/>
      <protection locked="0"/>
    </xf>
    <xf numFmtId="0" fontId="7" fillId="13" borderId="16" xfId="0" applyFont="1" applyFill="1" applyBorder="1" applyAlignment="1" applyProtection="1">
      <alignment horizontal="center"/>
      <protection locked="0"/>
    </xf>
    <xf numFmtId="0" fontId="7" fillId="13" borderId="15" xfId="0" applyFont="1" applyFill="1" applyBorder="1" applyAlignment="1" applyProtection="1">
      <alignment horizontal="center"/>
      <protection locked="0"/>
    </xf>
    <xf numFmtId="0" fontId="3" fillId="9" borderId="14" xfId="0" applyFont="1" applyFill="1" applyBorder="1" applyAlignment="1" applyProtection="1">
      <alignment horizontal="left"/>
      <protection locked="0"/>
    </xf>
    <xf numFmtId="0" fontId="3" fillId="9" borderId="15" xfId="0" applyFont="1" applyFill="1" applyBorder="1" applyAlignment="1" applyProtection="1">
      <alignment horizontal="center"/>
      <protection locked="0"/>
    </xf>
    <xf numFmtId="0" fontId="3" fillId="9" borderId="17" xfId="0" applyFont="1" applyFill="1" applyBorder="1" applyAlignment="1" applyProtection="1">
      <alignment horizontal="center"/>
      <protection locked="0"/>
    </xf>
    <xf numFmtId="0" fontId="3" fillId="9" borderId="16" xfId="0" applyFont="1" applyFill="1" applyBorder="1" applyAlignment="1" applyProtection="1">
      <alignment horizontal="center"/>
      <protection locked="0"/>
    </xf>
    <xf numFmtId="13" fontId="22" fillId="10" borderId="18" xfId="0" applyNumberFormat="1" applyFont="1" applyFill="1" applyBorder="1" applyAlignment="1" applyProtection="1">
      <alignment horizontal="left" vertical="center" wrapText="1"/>
      <protection locked="0"/>
    </xf>
    <xf numFmtId="0" fontId="27" fillId="10" borderId="0" xfId="0" applyFont="1" applyFill="1" applyAlignment="1" applyProtection="1">
      <alignment horizontal="left" wrapText="1"/>
      <protection locked="0"/>
    </xf>
    <xf numFmtId="0" fontId="27" fillId="10" borderId="2" xfId="0" applyFont="1" applyFill="1" applyBorder="1" applyAlignment="1" applyProtection="1">
      <alignment horizontal="centerContinuous" wrapText="1"/>
      <protection locked="0"/>
    </xf>
    <xf numFmtId="0" fontId="31" fillId="10" borderId="0" xfId="0" applyFont="1" applyFill="1" applyProtection="1">
      <protection locked="0"/>
    </xf>
    <xf numFmtId="0" fontId="31" fillId="10" borderId="2" xfId="0" applyFont="1" applyFill="1" applyBorder="1" applyAlignment="1" applyProtection="1">
      <alignment horizontal="centerContinuous"/>
      <protection locked="0"/>
    </xf>
    <xf numFmtId="0" fontId="32" fillId="10" borderId="44" xfId="0" applyFont="1" applyFill="1" applyBorder="1" applyAlignment="1" applyProtection="1">
      <alignment horizontal="centerContinuous"/>
      <protection locked="0"/>
    </xf>
    <xf numFmtId="0" fontId="31" fillId="10" borderId="14" xfId="0" applyFont="1" applyFill="1" applyBorder="1" applyAlignment="1" applyProtection="1">
      <alignment horizontal="centerContinuous"/>
      <protection locked="0"/>
    </xf>
    <xf numFmtId="0" fontId="32" fillId="10" borderId="31" xfId="0" applyFont="1" applyFill="1" applyBorder="1" applyAlignment="1" applyProtection="1">
      <alignment horizontal="centerContinuous"/>
      <protection locked="0"/>
    </xf>
    <xf numFmtId="0" fontId="31" fillId="10" borderId="38" xfId="0" applyFont="1" applyFill="1" applyBorder="1" applyAlignment="1" applyProtection="1">
      <alignment horizontal="centerContinuous"/>
      <protection locked="0"/>
    </xf>
    <xf numFmtId="0" fontId="31" fillId="10" borderId="31" xfId="0" applyFont="1" applyFill="1" applyBorder="1" applyProtection="1">
      <protection locked="0"/>
    </xf>
    <xf numFmtId="0" fontId="31" fillId="10" borderId="38" xfId="0" applyFont="1" applyFill="1" applyBorder="1" applyProtection="1">
      <protection locked="0"/>
    </xf>
    <xf numFmtId="0" fontId="31" fillId="10" borderId="31" xfId="0" applyFont="1" applyFill="1" applyBorder="1" applyAlignment="1" applyProtection="1">
      <alignment horizontal="center" textRotation="90" wrapText="1"/>
      <protection locked="0"/>
    </xf>
    <xf numFmtId="0" fontId="31" fillId="10" borderId="38" xfId="0" applyFont="1" applyFill="1" applyBorder="1" applyAlignment="1" applyProtection="1">
      <alignment horizontal="center" textRotation="90" wrapText="1"/>
      <protection locked="0"/>
    </xf>
    <xf numFmtId="0" fontId="31" fillId="10" borderId="29" xfId="0" applyFont="1" applyFill="1" applyBorder="1" applyProtection="1">
      <protection locked="0"/>
    </xf>
    <xf numFmtId="0" fontId="31" fillId="10" borderId="5" xfId="0" applyFont="1" applyFill="1" applyBorder="1" applyProtection="1">
      <protection locked="0"/>
    </xf>
    <xf numFmtId="0" fontId="31" fillId="10" borderId="8" xfId="0" applyFont="1" applyFill="1" applyBorder="1" applyAlignment="1" applyProtection="1">
      <alignment horizontal="center" vertical="center"/>
      <protection locked="0"/>
    </xf>
    <xf numFmtId="0" fontId="30" fillId="11" borderId="18" xfId="0" applyFont="1" applyFill="1" applyBorder="1" applyAlignment="1" applyProtection="1">
      <alignment horizontal="centerContinuous" vertical="center"/>
      <protection locked="0"/>
    </xf>
    <xf numFmtId="0" fontId="3" fillId="10" borderId="3" xfId="0" applyFont="1" applyFill="1" applyBorder="1" applyAlignment="1" applyProtection="1">
      <alignment horizontal="center"/>
      <protection locked="0"/>
    </xf>
    <xf numFmtId="0" fontId="3" fillId="13" borderId="15" xfId="0" applyFont="1" applyFill="1" applyBorder="1" applyAlignment="1" applyProtection="1">
      <alignment horizontal="center"/>
      <protection locked="0"/>
    </xf>
    <xf numFmtId="0" fontId="31" fillId="13" borderId="17" xfId="0" applyFont="1" applyFill="1" applyBorder="1" applyAlignment="1" applyProtection="1">
      <alignment horizontal="center"/>
      <protection locked="0"/>
    </xf>
    <xf numFmtId="0" fontId="2" fillId="0" borderId="0" xfId="0" applyFont="1"/>
    <xf numFmtId="0" fontId="31" fillId="13" borderId="44" xfId="0" applyFont="1" applyFill="1" applyBorder="1" applyProtection="1">
      <protection locked="0"/>
    </xf>
    <xf numFmtId="0" fontId="31" fillId="13" borderId="14" xfId="0" applyFont="1" applyFill="1" applyBorder="1" applyProtection="1">
      <protection locked="0"/>
    </xf>
    <xf numFmtId="0" fontId="31" fillId="13" borderId="15" xfId="0" applyFont="1" applyFill="1" applyBorder="1" applyAlignment="1" applyProtection="1">
      <alignment horizontal="center"/>
      <protection locked="0"/>
    </xf>
    <xf numFmtId="0" fontId="30" fillId="9" borderId="0" xfId="0" applyFont="1" applyFill="1" applyAlignment="1">
      <alignment horizontal="center"/>
    </xf>
    <xf numFmtId="0" fontId="9" fillId="13" borderId="0" xfId="0" applyFont="1" applyFill="1" applyAlignment="1">
      <alignment horizontal="center"/>
    </xf>
    <xf numFmtId="165" fontId="1" fillId="0" borderId="2" xfId="0" applyNumberFormat="1" applyFont="1" applyBorder="1" applyAlignment="1" applyProtection="1">
      <alignment horizontal="right" vertical="center"/>
      <protection locked="0"/>
    </xf>
    <xf numFmtId="0" fontId="1" fillId="0" borderId="2" xfId="0" quotePrefix="1" applyFont="1" applyBorder="1" applyAlignment="1" applyProtection="1">
      <alignment horizontal="center" vertical="center"/>
      <protection locked="0"/>
    </xf>
    <xf numFmtId="0" fontId="1" fillId="0" borderId="8" xfId="0" applyFont="1" applyBorder="1" applyAlignment="1" applyProtection="1">
      <alignment horizontal="left" vertical="center"/>
      <protection locked="0"/>
    </xf>
    <xf numFmtId="0" fontId="1" fillId="10" borderId="8" xfId="0" applyFont="1" applyFill="1" applyBorder="1" applyAlignment="1" applyProtection="1">
      <alignment horizontal="center" vertical="center"/>
      <protection locked="0"/>
    </xf>
    <xf numFmtId="0" fontId="1" fillId="10" borderId="51" xfId="0" applyFont="1" applyFill="1" applyBorder="1" applyAlignment="1" applyProtection="1">
      <alignment vertical="center" wrapText="1"/>
      <protection locked="0"/>
    </xf>
    <xf numFmtId="169" fontId="1" fillId="0" borderId="9" xfId="0" applyNumberFormat="1" applyFont="1" applyBorder="1" applyAlignment="1" applyProtection="1">
      <alignment horizontal="center" vertical="center"/>
      <protection locked="0"/>
    </xf>
    <xf numFmtId="0" fontId="1" fillId="10" borderId="10" xfId="0" applyFont="1" applyFill="1" applyBorder="1" applyAlignment="1" applyProtection="1">
      <alignment horizontal="center" vertical="center"/>
      <protection locked="0"/>
    </xf>
    <xf numFmtId="0" fontId="1" fillId="10" borderId="9"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168" fontId="1" fillId="0" borderId="8" xfId="0" applyNumberFormat="1" applyFont="1" applyBorder="1" applyAlignment="1" applyProtection="1">
      <alignment horizontal="center" vertical="center"/>
      <protection locked="0"/>
    </xf>
    <xf numFmtId="1" fontId="1" fillId="10" borderId="8" xfId="0" applyNumberFormat="1" applyFont="1" applyFill="1" applyBorder="1" applyAlignment="1" applyProtection="1">
      <alignment horizontal="center" vertical="center"/>
      <protection locked="0"/>
    </xf>
    <xf numFmtId="49" fontId="1" fillId="0" borderId="8" xfId="0" applyNumberFormat="1" applyFont="1" applyBorder="1" applyAlignment="1" applyProtection="1">
      <alignment horizontal="center" vertical="center"/>
      <protection locked="0"/>
    </xf>
    <xf numFmtId="0" fontId="1" fillId="0" borderId="8" xfId="0" applyFont="1" applyBorder="1" applyAlignment="1" applyProtection="1">
      <alignment horizontal="center" vertical="center" wrapText="1"/>
      <protection locked="0"/>
    </xf>
    <xf numFmtId="0" fontId="1" fillId="10" borderId="7" xfId="0" applyFont="1" applyFill="1" applyBorder="1" applyAlignment="1" applyProtection="1">
      <alignment horizontal="center" vertical="center"/>
      <protection locked="0"/>
    </xf>
    <xf numFmtId="1" fontId="1" fillId="0" borderId="9" xfId="0" applyNumberFormat="1" applyFont="1" applyBorder="1" applyAlignment="1" applyProtection="1">
      <alignment horizontal="center" vertical="center"/>
      <protection locked="0"/>
    </xf>
    <xf numFmtId="0" fontId="1" fillId="10" borderId="26" xfId="0" applyFont="1" applyFill="1" applyBorder="1" applyAlignment="1" applyProtection="1">
      <alignment horizontal="center" vertical="center"/>
      <protection locked="0"/>
    </xf>
    <xf numFmtId="1" fontId="1" fillId="10" borderId="9" xfId="0" applyNumberFormat="1" applyFont="1" applyFill="1" applyBorder="1" applyAlignment="1" applyProtection="1">
      <alignment horizontal="center" vertical="center"/>
      <protection locked="0"/>
    </xf>
    <xf numFmtId="0" fontId="1" fillId="10" borderId="9" xfId="0" applyFont="1" applyFill="1" applyBorder="1" applyAlignment="1" applyProtection="1">
      <alignment horizontal="left" vertical="center"/>
      <protection locked="0"/>
    </xf>
    <xf numFmtId="14" fontId="1" fillId="10" borderId="8" xfId="0" quotePrefix="1" applyNumberFormat="1" applyFont="1" applyFill="1" applyBorder="1" applyAlignment="1" applyProtection="1">
      <alignment horizontal="center" vertical="center"/>
      <protection locked="0"/>
    </xf>
    <xf numFmtId="173" fontId="1" fillId="10" borderId="6" xfId="0" applyNumberFormat="1" applyFont="1" applyFill="1" applyBorder="1" applyAlignment="1" applyProtection="1">
      <alignment horizontal="center" vertical="center"/>
      <protection locked="0"/>
    </xf>
    <xf numFmtId="173" fontId="1" fillId="10" borderId="8" xfId="0" applyNumberFormat="1" applyFont="1" applyFill="1" applyBorder="1" applyAlignment="1" applyProtection="1">
      <alignment horizontal="center" vertical="center"/>
      <protection locked="0"/>
    </xf>
    <xf numFmtId="173" fontId="1" fillId="10" borderId="9" xfId="0" applyNumberFormat="1" applyFont="1" applyFill="1" applyBorder="1" applyAlignment="1" applyProtection="1">
      <alignment horizontal="center" vertical="center"/>
      <protection locked="0"/>
    </xf>
    <xf numFmtId="0" fontId="1" fillId="10" borderId="51" xfId="0" applyFont="1" applyFill="1" applyBorder="1" applyAlignment="1" applyProtection="1">
      <alignment horizontal="center" vertical="center"/>
      <protection locked="0"/>
    </xf>
    <xf numFmtId="1" fontId="1" fillId="10" borderId="10" xfId="0" applyNumberFormat="1" applyFont="1" applyFill="1" applyBorder="1" applyAlignment="1" applyProtection="1">
      <alignment horizontal="center" vertical="center"/>
      <protection locked="0"/>
    </xf>
    <xf numFmtId="166" fontId="1" fillId="0" borderId="2" xfId="0" quotePrefix="1" applyNumberFormat="1" applyFont="1" applyBorder="1" applyAlignment="1" applyProtection="1">
      <alignment horizontal="center" vertical="center"/>
      <protection locked="0"/>
    </xf>
    <xf numFmtId="0" fontId="1" fillId="0" borderId="3" xfId="0" applyFont="1" applyBorder="1" applyAlignment="1" applyProtection="1">
      <alignment vertical="center" wrapText="1"/>
      <protection locked="0"/>
    </xf>
    <xf numFmtId="0" fontId="1" fillId="0" borderId="9" xfId="0" applyFont="1" applyBorder="1" applyAlignment="1" applyProtection="1">
      <alignment horizontal="center" vertical="center"/>
      <protection locked="0"/>
    </xf>
    <xf numFmtId="0" fontId="1" fillId="0" borderId="34" xfId="0" applyFont="1" applyBorder="1" applyAlignment="1" applyProtection="1">
      <alignment horizontal="left" vertical="center" wrapText="1"/>
      <protection locked="0"/>
    </xf>
    <xf numFmtId="0" fontId="1" fillId="0" borderId="3" xfId="0" applyFont="1" applyBorder="1" applyAlignment="1" applyProtection="1">
      <alignment vertical="center"/>
      <protection locked="0"/>
    </xf>
    <xf numFmtId="1" fontId="31" fillId="10" borderId="9" xfId="0" applyNumberFormat="1" applyFont="1" applyFill="1" applyBorder="1" applyAlignment="1" applyProtection="1">
      <alignment horizontal="center" vertical="center"/>
      <protection locked="0"/>
    </xf>
    <xf numFmtId="0" fontId="1" fillId="0" borderId="0" xfId="0" applyFont="1"/>
    <xf numFmtId="0" fontId="1" fillId="0" borderId="0" xfId="0" applyFont="1" applyAlignment="1">
      <alignment wrapText="1"/>
    </xf>
    <xf numFmtId="0" fontId="1" fillId="0" borderId="2" xfId="0" applyFont="1" applyBorder="1" applyProtection="1">
      <protection locked="0"/>
    </xf>
    <xf numFmtId="0" fontId="1" fillId="10" borderId="3" xfId="0" applyFont="1" applyFill="1" applyBorder="1" applyAlignment="1" applyProtection="1">
      <alignment horizontal="center"/>
      <protection locked="0"/>
    </xf>
    <xf numFmtId="0" fontId="1" fillId="10" borderId="24" xfId="0" applyFont="1" applyFill="1" applyBorder="1" applyAlignment="1" applyProtection="1">
      <alignment horizontal="left"/>
      <protection locked="0"/>
    </xf>
    <xf numFmtId="165" fontId="1" fillId="10" borderId="0" xfId="0" applyNumberFormat="1" applyFont="1" applyFill="1" applyAlignment="1" applyProtection="1">
      <alignment horizontal="right"/>
      <protection locked="0"/>
    </xf>
    <xf numFmtId="0" fontId="1" fillId="10" borderId="0" xfId="0" applyFont="1" applyFill="1" applyProtection="1">
      <protection locked="0"/>
    </xf>
    <xf numFmtId="165" fontId="1" fillId="10" borderId="0" xfId="0" applyNumberFormat="1" applyFont="1" applyFill="1" applyAlignment="1" applyProtection="1">
      <alignment horizontal="left"/>
      <protection locked="0"/>
    </xf>
    <xf numFmtId="165" fontId="1" fillId="10" borderId="0" xfId="0" applyNumberFormat="1" applyFont="1" applyFill="1" applyAlignment="1" applyProtection="1">
      <alignment horizontal="center"/>
      <protection locked="0"/>
    </xf>
    <xf numFmtId="166" fontId="1" fillId="10" borderId="0" xfId="0" applyNumberFormat="1" applyFont="1" applyFill="1" applyAlignment="1" applyProtection="1">
      <alignment horizontal="center"/>
      <protection locked="0"/>
    </xf>
    <xf numFmtId="166" fontId="1" fillId="10" borderId="0" xfId="0" applyNumberFormat="1" applyFont="1" applyFill="1" applyAlignment="1" applyProtection="1">
      <alignment horizontal="left"/>
      <protection locked="0"/>
    </xf>
    <xf numFmtId="0" fontId="1" fillId="10" borderId="0" xfId="0" applyFont="1" applyFill="1" applyAlignment="1" applyProtection="1">
      <alignment horizontal="left"/>
      <protection locked="0"/>
    </xf>
    <xf numFmtId="0" fontId="1" fillId="10" borderId="0" xfId="0" applyFont="1" applyFill="1" applyAlignment="1" applyProtection="1">
      <alignment horizontal="center"/>
      <protection locked="0"/>
    </xf>
    <xf numFmtId="0" fontId="1" fillId="10" borderId="0" xfId="0" applyFont="1" applyFill="1" applyAlignment="1" applyProtection="1">
      <alignment wrapText="1"/>
      <protection locked="0"/>
    </xf>
    <xf numFmtId="169" fontId="1" fillId="10" borderId="0" xfId="0" applyNumberFormat="1" applyFont="1" applyFill="1" applyProtection="1">
      <protection locked="0"/>
    </xf>
    <xf numFmtId="49" fontId="1" fillId="10" borderId="0" xfId="0" applyNumberFormat="1" applyFont="1" applyFill="1" applyProtection="1">
      <protection locked="0"/>
    </xf>
    <xf numFmtId="0" fontId="1" fillId="10" borderId="0" xfId="0" applyFont="1" applyFill="1" applyAlignment="1" applyProtection="1">
      <alignment horizontal="center" wrapText="1"/>
      <protection locked="0"/>
    </xf>
    <xf numFmtId="170" fontId="1" fillId="10" borderId="0" xfId="0" applyNumberFormat="1" applyFont="1" applyFill="1" applyProtection="1">
      <protection locked="0"/>
    </xf>
    <xf numFmtId="171" fontId="1" fillId="10" borderId="0" xfId="0" applyNumberFormat="1" applyFont="1" applyFill="1" applyProtection="1">
      <protection locked="0"/>
    </xf>
    <xf numFmtId="171" fontId="1" fillId="10" borderId="0" xfId="0" applyNumberFormat="1" applyFont="1" applyFill="1" applyAlignment="1" applyProtection="1">
      <alignment horizontal="right"/>
      <protection locked="0"/>
    </xf>
    <xf numFmtId="0" fontId="1" fillId="0" borderId="0" xfId="0" applyFont="1" applyAlignment="1" applyProtection="1">
      <alignment vertical="center"/>
      <protection locked="0"/>
    </xf>
    <xf numFmtId="0" fontId="1" fillId="10" borderId="0" xfId="0" applyFont="1" applyFill="1" applyAlignment="1" applyProtection="1">
      <alignment horizontal="left" wrapText="1"/>
      <protection locked="0"/>
    </xf>
    <xf numFmtId="169" fontId="1" fillId="0" borderId="22" xfId="0" applyNumberFormat="1" applyFont="1" applyBorder="1" applyAlignment="1" applyProtection="1">
      <alignment horizontal="centerContinuous"/>
      <protection locked="0"/>
    </xf>
    <xf numFmtId="0" fontId="1" fillId="10" borderId="2" xfId="0" applyFont="1" applyFill="1" applyBorder="1" applyAlignment="1" applyProtection="1">
      <alignment horizontal="centerContinuous"/>
      <protection locked="0"/>
    </xf>
    <xf numFmtId="0" fontId="1" fillId="10" borderId="2" xfId="0" applyFont="1" applyFill="1" applyBorder="1" applyAlignment="1" applyProtection="1">
      <alignment horizontal="center"/>
      <protection locked="0"/>
    </xf>
    <xf numFmtId="0" fontId="1" fillId="10" borderId="32" xfId="0" applyFont="1" applyFill="1" applyBorder="1" applyAlignment="1" applyProtection="1">
      <alignment horizontal="centerContinuous"/>
      <protection locked="0"/>
    </xf>
    <xf numFmtId="0" fontId="1" fillId="0" borderId="2" xfId="0" applyFont="1" applyBorder="1" applyAlignment="1" applyProtection="1">
      <alignment horizontal="centerContinuous"/>
      <protection locked="0"/>
    </xf>
    <xf numFmtId="0" fontId="1" fillId="0" borderId="2" xfId="0" applyFont="1" applyBorder="1" applyAlignment="1" applyProtection="1">
      <alignment horizontal="center"/>
      <protection locked="0"/>
    </xf>
    <xf numFmtId="49" fontId="1" fillId="0" borderId="2" xfId="0" applyNumberFormat="1" applyFont="1" applyBorder="1" applyAlignment="1" applyProtection="1">
      <alignment horizontal="centerContinuous"/>
      <protection locked="0"/>
    </xf>
    <xf numFmtId="0" fontId="1" fillId="0" borderId="2" xfId="0" applyFont="1" applyBorder="1" applyAlignment="1" applyProtection="1">
      <alignment horizontal="centerContinuous" wrapText="1"/>
      <protection locked="0"/>
    </xf>
    <xf numFmtId="0" fontId="1" fillId="0" borderId="32" xfId="0" applyFont="1" applyBorder="1" applyAlignment="1" applyProtection="1">
      <alignment horizontal="centerContinuous"/>
      <protection locked="0"/>
    </xf>
    <xf numFmtId="0" fontId="1" fillId="10" borderId="2" xfId="0" applyFont="1" applyFill="1" applyBorder="1" applyProtection="1">
      <protection locked="0"/>
    </xf>
    <xf numFmtId="0" fontId="1" fillId="0" borderId="2" xfId="0" applyFont="1" applyBorder="1" applyAlignment="1" applyProtection="1">
      <alignment wrapText="1"/>
      <protection locked="0"/>
    </xf>
    <xf numFmtId="0" fontId="1" fillId="10" borderId="32" xfId="0" applyFont="1" applyFill="1" applyBorder="1" applyAlignment="1" applyProtection="1">
      <alignment horizontal="center"/>
      <protection locked="0"/>
    </xf>
    <xf numFmtId="0" fontId="1" fillId="0" borderId="27" xfId="0" applyFont="1" applyBorder="1" applyAlignment="1" applyProtection="1">
      <alignment horizontal="center"/>
      <protection locked="0"/>
    </xf>
    <xf numFmtId="0" fontId="1" fillId="0" borderId="2" xfId="0" applyFont="1" applyBorder="1" applyAlignment="1">
      <alignment horizontal="center"/>
    </xf>
    <xf numFmtId="0" fontId="1" fillId="10" borderId="27" xfId="0" applyFont="1" applyFill="1" applyBorder="1" applyProtection="1">
      <protection locked="0"/>
    </xf>
    <xf numFmtId="9" fontId="1" fillId="10" borderId="21" xfId="0" applyNumberFormat="1" applyFont="1" applyFill="1" applyBorder="1" applyAlignment="1" applyProtection="1">
      <alignment horizontal="left"/>
      <protection locked="0"/>
    </xf>
    <xf numFmtId="0" fontId="1" fillId="10" borderId="0" xfId="0" applyFont="1" applyFill="1" applyAlignment="1" applyProtection="1">
      <alignment horizontal="centerContinuous"/>
      <protection locked="0"/>
    </xf>
    <xf numFmtId="0" fontId="1" fillId="10" borderId="0" xfId="0" applyFont="1" applyFill="1" applyAlignment="1" applyProtection="1">
      <alignment vertical="center"/>
      <protection locked="0"/>
    </xf>
    <xf numFmtId="170" fontId="1" fillId="10" borderId="0" xfId="0" applyNumberFormat="1" applyFont="1" applyFill="1" applyAlignment="1" applyProtection="1">
      <alignment horizontal="centerContinuous" vertical="center"/>
      <protection locked="0"/>
    </xf>
    <xf numFmtId="0" fontId="1" fillId="10" borderId="21" xfId="0" applyFont="1" applyFill="1" applyBorder="1" applyAlignment="1" applyProtection="1">
      <alignment horizontal="left" vertical="center"/>
      <protection locked="0"/>
    </xf>
    <xf numFmtId="0" fontId="1" fillId="10" borderId="0" xfId="0" applyFont="1" applyFill="1" applyAlignment="1" applyProtection="1">
      <alignment horizontal="centerContinuous" vertical="center"/>
      <protection locked="0"/>
    </xf>
    <xf numFmtId="9" fontId="1" fillId="10" borderId="0" xfId="0" applyNumberFormat="1" applyFont="1" applyFill="1" applyAlignment="1" applyProtection="1">
      <alignment horizontal="left"/>
      <protection locked="0"/>
    </xf>
    <xf numFmtId="0" fontId="1" fillId="10" borderId="52" xfId="0" applyFont="1" applyFill="1" applyBorder="1" applyAlignment="1" applyProtection="1">
      <alignment horizontal="centerContinuous"/>
      <protection locked="0"/>
    </xf>
    <xf numFmtId="0" fontId="1" fillId="10" borderId="22" xfId="0" applyFont="1" applyFill="1" applyBorder="1" applyAlignment="1" applyProtection="1">
      <alignment horizontal="center"/>
      <protection locked="0"/>
    </xf>
    <xf numFmtId="171" fontId="1" fillId="0" borderId="2" xfId="0" applyNumberFormat="1" applyFont="1" applyBorder="1" applyAlignment="1">
      <alignment horizontal="right"/>
    </xf>
    <xf numFmtId="0" fontId="1" fillId="0" borderId="0" xfId="0" applyFont="1" applyProtection="1">
      <protection locked="0"/>
    </xf>
    <xf numFmtId="0" fontId="1" fillId="10" borderId="15" xfId="0" applyFont="1" applyFill="1" applyBorder="1" applyProtection="1">
      <protection locked="0"/>
    </xf>
    <xf numFmtId="0" fontId="1" fillId="10" borderId="15" xfId="0" applyFont="1" applyFill="1" applyBorder="1" applyAlignment="1" applyProtection="1">
      <alignment textRotation="90"/>
      <protection locked="0"/>
    </xf>
    <xf numFmtId="0" fontId="1" fillId="10" borderId="15" xfId="0" applyFont="1" applyFill="1" applyBorder="1" applyAlignment="1" applyProtection="1">
      <alignment horizontal="center"/>
      <protection locked="0"/>
    </xf>
    <xf numFmtId="0" fontId="1" fillId="10" borderId="16" xfId="0" applyFont="1" applyFill="1" applyBorder="1" applyAlignment="1" applyProtection="1">
      <alignment textRotation="90"/>
      <protection locked="0"/>
    </xf>
    <xf numFmtId="0" fontId="1" fillId="0" borderId="17" xfId="0" applyFont="1" applyBorder="1" applyProtection="1">
      <protection locked="0"/>
    </xf>
    <xf numFmtId="0" fontId="1" fillId="0" borderId="15" xfId="0" applyFont="1" applyBorder="1" applyAlignment="1" applyProtection="1">
      <alignment horizontal="center"/>
      <protection locked="0"/>
    </xf>
    <xf numFmtId="49" fontId="1" fillId="0" borderId="15" xfId="0" applyNumberFormat="1" applyFont="1" applyBorder="1" applyProtection="1">
      <protection locked="0"/>
    </xf>
    <xf numFmtId="0" fontId="1" fillId="0" borderId="15" xfId="0" applyFont="1" applyBorder="1" applyAlignment="1" applyProtection="1">
      <alignment wrapText="1"/>
      <protection locked="0"/>
    </xf>
    <xf numFmtId="0" fontId="1" fillId="0" borderId="15" xfId="0" applyFont="1" applyBorder="1" applyProtection="1">
      <protection locked="0"/>
    </xf>
    <xf numFmtId="0" fontId="1" fillId="0" borderId="16" xfId="0" applyFont="1" applyBorder="1" applyProtection="1">
      <protection locked="0"/>
    </xf>
    <xf numFmtId="0" fontId="1" fillId="10" borderId="17" xfId="0" applyFont="1" applyFill="1" applyBorder="1" applyProtection="1">
      <protection locked="0"/>
    </xf>
    <xf numFmtId="0" fontId="1" fillId="0" borderId="15" xfId="0" applyFont="1" applyBorder="1" applyAlignment="1" applyProtection="1">
      <alignment horizontal="center" wrapText="1"/>
      <protection locked="0"/>
    </xf>
    <xf numFmtId="0" fontId="1" fillId="0" borderId="17" xfId="0" applyFont="1" applyBorder="1" applyAlignment="1" applyProtection="1">
      <alignment horizontal="center" textRotation="90"/>
      <protection locked="0"/>
    </xf>
    <xf numFmtId="0" fontId="1" fillId="10" borderId="15" xfId="0" applyFont="1" applyFill="1" applyBorder="1" applyAlignment="1">
      <alignment horizontal="center"/>
    </xf>
    <xf numFmtId="0" fontId="1" fillId="0" borderId="17" xfId="0" applyFont="1" applyBorder="1" applyAlignment="1">
      <alignment horizontal="center"/>
    </xf>
    <xf numFmtId="0" fontId="1" fillId="0" borderId="15" xfId="0" applyFont="1" applyBorder="1" applyAlignment="1">
      <alignment horizontal="center"/>
    </xf>
    <xf numFmtId="0" fontId="1" fillId="0" borderId="16" xfId="0" applyFont="1" applyBorder="1" applyAlignment="1">
      <alignment horizontal="center"/>
    </xf>
    <xf numFmtId="0" fontId="1" fillId="10" borderId="17" xfId="0" applyFont="1" applyFill="1" applyBorder="1" applyAlignment="1" applyProtection="1">
      <alignment horizontal="center"/>
      <protection locked="0"/>
    </xf>
    <xf numFmtId="0" fontId="1" fillId="0" borderId="22" xfId="0" applyFont="1" applyBorder="1" applyAlignment="1" applyProtection="1">
      <alignment wrapText="1"/>
      <protection locked="0"/>
    </xf>
    <xf numFmtId="0" fontId="1" fillId="10" borderId="16" xfId="0" applyFont="1" applyFill="1" applyBorder="1" applyAlignment="1" applyProtection="1">
      <alignment horizontal="left"/>
      <protection locked="0"/>
    </xf>
    <xf numFmtId="0" fontId="1" fillId="10" borderId="16" xfId="0" applyFont="1" applyFill="1" applyBorder="1" applyProtection="1">
      <protection locked="0"/>
    </xf>
    <xf numFmtId="9" fontId="1" fillId="10" borderId="2" xfId="0" applyNumberFormat="1" applyFont="1" applyFill="1" applyBorder="1" applyAlignment="1" applyProtection="1">
      <alignment horizontal="center"/>
      <protection locked="0"/>
    </xf>
    <xf numFmtId="0" fontId="1" fillId="10" borderId="25" xfId="0" applyFont="1" applyFill="1" applyBorder="1" applyAlignment="1" applyProtection="1">
      <alignment horizontal="centerContinuous"/>
      <protection locked="0"/>
    </xf>
    <xf numFmtId="171" fontId="1" fillId="0" borderId="3" xfId="2" applyNumberFormat="1" applyFont="1" applyFill="1" applyBorder="1" applyProtection="1"/>
    <xf numFmtId="171" fontId="1" fillId="0" borderId="38" xfId="2" applyNumberFormat="1" applyFont="1" applyFill="1" applyBorder="1" applyProtection="1"/>
    <xf numFmtId="171" fontId="1" fillId="0" borderId="32" xfId="2" applyNumberFormat="1" applyFont="1" applyFill="1" applyBorder="1" applyAlignment="1" applyProtection="1">
      <alignment horizontal="right"/>
    </xf>
    <xf numFmtId="0" fontId="1" fillId="0" borderId="32" xfId="0" applyFont="1" applyBorder="1" applyAlignment="1" applyProtection="1">
      <alignment horizontal="left"/>
      <protection locked="0"/>
    </xf>
    <xf numFmtId="0" fontId="1" fillId="10" borderId="39" xfId="0" applyFont="1" applyFill="1" applyBorder="1" applyProtection="1">
      <protection locked="0"/>
    </xf>
    <xf numFmtId="0" fontId="1" fillId="10" borderId="39" xfId="0" applyFont="1" applyFill="1" applyBorder="1" applyAlignment="1" applyProtection="1">
      <alignment textRotation="90"/>
      <protection locked="0"/>
    </xf>
    <xf numFmtId="0" fontId="1" fillId="10" borderId="39" xfId="0" applyFont="1" applyFill="1" applyBorder="1" applyAlignment="1" applyProtection="1">
      <alignment horizontal="center"/>
      <protection locked="0"/>
    </xf>
    <xf numFmtId="0" fontId="1" fillId="10" borderId="41" xfId="0" applyFont="1" applyFill="1" applyBorder="1" applyAlignment="1" applyProtection="1">
      <alignment textRotation="90"/>
      <protection locked="0"/>
    </xf>
    <xf numFmtId="0" fontId="1" fillId="0" borderId="40" xfId="0" applyFont="1" applyBorder="1" applyProtection="1">
      <protection locked="0"/>
    </xf>
    <xf numFmtId="0" fontId="1" fillId="0" borderId="39" xfId="0" applyFont="1" applyBorder="1" applyAlignment="1" applyProtection="1">
      <alignment horizontal="center"/>
      <protection locked="0"/>
    </xf>
    <xf numFmtId="49" fontId="1" fillId="0" borderId="39" xfId="0" applyNumberFormat="1" applyFont="1" applyBorder="1" applyProtection="1">
      <protection locked="0"/>
    </xf>
    <xf numFmtId="0" fontId="1" fillId="0" borderId="39" xfId="0" applyFont="1" applyBorder="1" applyAlignment="1" applyProtection="1">
      <alignment wrapText="1"/>
      <protection locked="0"/>
    </xf>
    <xf numFmtId="0" fontId="1" fillId="0" borderId="39" xfId="0" applyFont="1" applyBorder="1" applyProtection="1">
      <protection locked="0"/>
    </xf>
    <xf numFmtId="0" fontId="1" fillId="0" borderId="41" xfId="0" applyFont="1" applyBorder="1" applyProtection="1">
      <protection locked="0"/>
    </xf>
    <xf numFmtId="0" fontId="1" fillId="10" borderId="40" xfId="0" applyFont="1" applyFill="1" applyBorder="1" applyProtection="1">
      <protection locked="0"/>
    </xf>
    <xf numFmtId="0" fontId="1" fillId="0" borderId="39" xfId="0" applyFont="1" applyBorder="1" applyAlignment="1" applyProtection="1">
      <alignment horizontal="center" wrapText="1"/>
      <protection locked="0"/>
    </xf>
    <xf numFmtId="0" fontId="1" fillId="10" borderId="39" xfId="0" applyFont="1" applyFill="1" applyBorder="1" applyAlignment="1" applyProtection="1">
      <alignment horizontal="center" textRotation="90"/>
      <protection locked="0"/>
    </xf>
    <xf numFmtId="0" fontId="1" fillId="10" borderId="40" xfId="0" applyFont="1" applyFill="1" applyBorder="1" applyAlignment="1" applyProtection="1">
      <alignment horizontal="center" textRotation="90"/>
      <protection locked="0"/>
    </xf>
    <xf numFmtId="0" fontId="1" fillId="10" borderId="41" xfId="0" applyFont="1" applyFill="1" applyBorder="1" applyAlignment="1" applyProtection="1">
      <alignment horizontal="center" textRotation="90"/>
      <protection locked="0"/>
    </xf>
    <xf numFmtId="0" fontId="1" fillId="0" borderId="40" xfId="0" applyFont="1" applyBorder="1" applyAlignment="1" applyProtection="1">
      <alignment horizontal="center" textRotation="90"/>
      <protection locked="0"/>
    </xf>
    <xf numFmtId="0" fontId="1" fillId="0" borderId="39" xfId="0" applyFont="1" applyBorder="1" applyAlignment="1" applyProtection="1">
      <alignment horizontal="center" textRotation="90"/>
      <protection locked="0"/>
    </xf>
    <xf numFmtId="0" fontId="1" fillId="0" borderId="40" xfId="0" applyFont="1" applyBorder="1" applyAlignment="1" applyProtection="1">
      <alignment horizontal="center"/>
      <protection locked="0"/>
    </xf>
    <xf numFmtId="0" fontId="1" fillId="0" borderId="41" xfId="0" applyFont="1" applyBorder="1" applyAlignment="1" applyProtection="1">
      <alignment horizontal="center"/>
      <protection locked="0"/>
    </xf>
    <xf numFmtId="0" fontId="1" fillId="10" borderId="40" xfId="0" applyFont="1" applyFill="1" applyBorder="1" applyAlignment="1" applyProtection="1">
      <alignment horizontal="center"/>
      <protection locked="0"/>
    </xf>
    <xf numFmtId="0" fontId="1" fillId="10" borderId="41" xfId="0" applyFont="1" applyFill="1" applyBorder="1" applyAlignment="1" applyProtection="1">
      <alignment horizontal="left"/>
      <protection locked="0"/>
    </xf>
    <xf numFmtId="0" fontId="1" fillId="10" borderId="41" xfId="0" applyFont="1" applyFill="1" applyBorder="1" applyProtection="1">
      <protection locked="0"/>
    </xf>
    <xf numFmtId="0" fontId="1" fillId="10" borderId="19" xfId="0" applyFont="1" applyFill="1" applyBorder="1" applyAlignment="1" applyProtection="1">
      <alignment horizontal="centerContinuous"/>
      <protection locked="0"/>
    </xf>
    <xf numFmtId="0" fontId="1" fillId="10" borderId="18" xfId="0" applyFont="1" applyFill="1" applyBorder="1" applyAlignment="1" applyProtection="1">
      <alignment horizontal="centerContinuous"/>
      <protection locked="0"/>
    </xf>
    <xf numFmtId="0" fontId="1" fillId="10" borderId="18" xfId="0" applyFont="1" applyFill="1" applyBorder="1" applyAlignment="1" applyProtection="1">
      <alignment horizontal="left"/>
      <protection locked="0"/>
    </xf>
    <xf numFmtId="0" fontId="1" fillId="10" borderId="20" xfId="0" applyFont="1" applyFill="1" applyBorder="1" applyAlignment="1" applyProtection="1">
      <alignment horizontal="centerContinuous"/>
      <protection locked="0"/>
    </xf>
    <xf numFmtId="170" fontId="1" fillId="10" borderId="20" xfId="0" applyNumberFormat="1" applyFont="1" applyFill="1" applyBorder="1" applyAlignment="1" applyProtection="1">
      <alignment horizontal="centerContinuous"/>
      <protection locked="0"/>
    </xf>
    <xf numFmtId="0" fontId="1" fillId="10" borderId="54" xfId="0" applyFont="1" applyFill="1" applyBorder="1" applyAlignment="1" applyProtection="1">
      <alignment horizontal="centerContinuous"/>
      <protection locked="0"/>
    </xf>
    <xf numFmtId="9" fontId="1" fillId="0" borderId="0" xfId="1" applyFont="1" applyFill="1" applyBorder="1" applyProtection="1">
      <protection locked="0"/>
    </xf>
    <xf numFmtId="171" fontId="1" fillId="0" borderId="22" xfId="0" applyNumberFormat="1" applyFont="1" applyBorder="1" applyAlignment="1">
      <alignment horizontal="right"/>
    </xf>
    <xf numFmtId="0" fontId="1" fillId="9" borderId="29" xfId="0" applyFont="1" applyFill="1" applyBorder="1" applyAlignment="1" applyProtection="1">
      <alignment horizontal="left"/>
      <protection locked="0"/>
    </xf>
    <xf numFmtId="0" fontId="1" fillId="9" borderId="2" xfId="0" applyFont="1" applyFill="1" applyBorder="1" applyAlignment="1" applyProtection="1">
      <alignment horizontal="left"/>
      <protection locked="0"/>
    </xf>
    <xf numFmtId="0" fontId="1" fillId="9" borderId="42" xfId="0" applyFont="1" applyFill="1" applyBorder="1" applyAlignment="1" applyProtection="1">
      <alignment horizontal="left"/>
      <protection locked="0"/>
    </xf>
    <xf numFmtId="0" fontId="1" fillId="9" borderId="5" xfId="0" applyFont="1" applyFill="1" applyBorder="1" applyAlignment="1" applyProtection="1">
      <alignment horizontal="left"/>
      <protection locked="0"/>
    </xf>
    <xf numFmtId="0" fontId="1" fillId="10" borderId="15" xfId="0" applyFont="1" applyFill="1" applyBorder="1" applyAlignment="1" applyProtection="1">
      <alignment wrapText="1"/>
      <protection locked="0"/>
    </xf>
    <xf numFmtId="169" fontId="1" fillId="0" borderId="16" xfId="0" applyNumberFormat="1" applyFont="1" applyBorder="1" applyProtection="1">
      <protection locked="0"/>
    </xf>
    <xf numFmtId="9" fontId="1" fillId="10" borderId="21" xfId="0" applyNumberFormat="1" applyFont="1" applyFill="1" applyBorder="1" applyAlignment="1" applyProtection="1">
      <alignment horizontal="center"/>
      <protection locked="0"/>
    </xf>
    <xf numFmtId="9" fontId="1" fillId="10" borderId="0" xfId="0" applyNumberFormat="1" applyFont="1" applyFill="1" applyAlignment="1" applyProtection="1">
      <alignment horizontal="center"/>
      <protection locked="0"/>
    </xf>
    <xf numFmtId="9" fontId="1" fillId="10" borderId="22" xfId="0" applyNumberFormat="1" applyFont="1" applyFill="1" applyBorder="1" applyAlignment="1" applyProtection="1">
      <alignment horizontal="center"/>
      <protection locked="0"/>
    </xf>
    <xf numFmtId="0" fontId="1" fillId="10" borderId="21" xfId="0" applyFont="1" applyFill="1" applyBorder="1" applyProtection="1">
      <protection locked="0"/>
    </xf>
    <xf numFmtId="0" fontId="1" fillId="10" borderId="22" xfId="0" applyFont="1" applyFill="1" applyBorder="1" applyProtection="1">
      <protection locked="0"/>
    </xf>
    <xf numFmtId="170" fontId="1" fillId="10" borderId="22" xfId="0" applyNumberFormat="1" applyFont="1" applyFill="1" applyBorder="1" applyProtection="1">
      <protection locked="0"/>
    </xf>
    <xf numFmtId="9" fontId="1" fillId="10" borderId="52" xfId="0" applyNumberFormat="1" applyFont="1" applyFill="1" applyBorder="1" applyAlignment="1" applyProtection="1">
      <alignment horizontal="center"/>
      <protection locked="0"/>
    </xf>
    <xf numFmtId="0" fontId="1" fillId="10" borderId="41" xfId="0" applyFont="1" applyFill="1" applyBorder="1" applyAlignment="1" applyProtection="1">
      <alignment horizontal="center"/>
      <protection locked="0"/>
    </xf>
    <xf numFmtId="171" fontId="1" fillId="0" borderId="0" xfId="0" applyNumberFormat="1" applyFont="1" applyProtection="1">
      <protection locked="0"/>
    </xf>
    <xf numFmtId="171" fontId="1" fillId="0" borderId="0" xfId="0" applyNumberFormat="1" applyFont="1"/>
    <xf numFmtId="171" fontId="1" fillId="0" borderId="43" xfId="0" applyNumberFormat="1" applyFont="1" applyBorder="1" applyAlignment="1">
      <alignment horizontal="right"/>
    </xf>
    <xf numFmtId="0" fontId="1" fillId="0" borderId="31" xfId="0" applyFont="1" applyBorder="1" applyAlignment="1" applyProtection="1">
      <alignment horizontal="right"/>
      <protection locked="0"/>
    </xf>
    <xf numFmtId="165" fontId="1" fillId="0" borderId="38" xfId="0" applyNumberFormat="1" applyFont="1" applyBorder="1" applyAlignment="1" applyProtection="1">
      <alignment horizontal="right" textRotation="90"/>
      <protection locked="0"/>
    </xf>
    <xf numFmtId="0" fontId="1" fillId="0" borderId="44" xfId="0" applyFont="1" applyBorder="1" applyAlignment="1" applyProtection="1">
      <alignment horizontal="center" wrapText="1"/>
      <protection locked="0"/>
    </xf>
    <xf numFmtId="165" fontId="1" fillId="0" borderId="44" xfId="0" applyNumberFormat="1" applyFont="1" applyBorder="1" applyAlignment="1" applyProtection="1">
      <alignment horizontal="center" textRotation="90"/>
      <protection locked="0"/>
    </xf>
    <xf numFmtId="166" fontId="1" fillId="0" borderId="38" xfId="0" applyNumberFormat="1" applyFont="1" applyBorder="1" applyAlignment="1" applyProtection="1">
      <alignment horizontal="center" textRotation="90"/>
      <protection locked="0"/>
    </xf>
    <xf numFmtId="166" fontId="1" fillId="0" borderId="44" xfId="0" applyNumberFormat="1" applyFont="1" applyBorder="1" applyAlignment="1" applyProtection="1">
      <alignment horizontal="left" textRotation="90"/>
      <protection locked="0"/>
    </xf>
    <xf numFmtId="0" fontId="1" fillId="0" borderId="38" xfId="0" applyFont="1" applyBorder="1" applyAlignment="1" applyProtection="1">
      <alignment horizontal="left" wrapText="1"/>
      <protection locked="0"/>
    </xf>
    <xf numFmtId="0" fontId="1" fillId="0" borderId="39" xfId="0" applyFont="1" applyBorder="1" applyAlignment="1" applyProtection="1">
      <alignment horizontal="center" textRotation="90" wrapText="1"/>
      <protection locked="0"/>
    </xf>
    <xf numFmtId="0" fontId="1" fillId="10" borderId="39" xfId="0" applyFont="1" applyFill="1" applyBorder="1" applyAlignment="1" applyProtection="1">
      <alignment horizontal="center" wrapText="1"/>
      <protection locked="0"/>
    </xf>
    <xf numFmtId="169" fontId="1" fillId="0" borderId="41" xfId="0" applyNumberFormat="1" applyFont="1" applyBorder="1" applyAlignment="1" applyProtection="1">
      <alignment horizontal="center" wrapText="1"/>
      <protection locked="0"/>
    </xf>
    <xf numFmtId="0" fontId="1" fillId="10" borderId="40" xfId="0" applyFont="1" applyFill="1" applyBorder="1" applyAlignment="1" applyProtection="1">
      <alignment horizontal="center" textRotation="90" wrapText="1"/>
      <protection locked="0"/>
    </xf>
    <xf numFmtId="0" fontId="1" fillId="0" borderId="40" xfId="0" applyFont="1" applyBorder="1" applyAlignment="1" applyProtection="1">
      <alignment horizontal="center" wrapText="1"/>
      <protection locked="0"/>
    </xf>
    <xf numFmtId="49" fontId="1" fillId="0" borderId="39" xfId="0" applyNumberFormat="1" applyFont="1" applyBorder="1" applyAlignment="1" applyProtection="1">
      <alignment horizontal="center" wrapText="1"/>
      <protection locked="0"/>
    </xf>
    <xf numFmtId="0" fontId="1" fillId="0" borderId="41" xfId="0" applyFont="1" applyBorder="1" applyAlignment="1" applyProtection="1">
      <alignment horizontal="center" textRotation="90"/>
      <protection locked="0"/>
    </xf>
    <xf numFmtId="0" fontId="1" fillId="10" borderId="41" xfId="0" applyFont="1" applyFill="1" applyBorder="1" applyAlignment="1" applyProtection="1">
      <alignment horizontal="center" wrapText="1"/>
      <protection locked="0"/>
    </xf>
    <xf numFmtId="0" fontId="1" fillId="10" borderId="21" xfId="0" applyFont="1" applyFill="1" applyBorder="1" applyAlignment="1" applyProtection="1">
      <alignment horizontal="center" vertical="center" wrapText="1"/>
      <protection locked="0"/>
    </xf>
    <xf numFmtId="0" fontId="1" fillId="10" borderId="0" xfId="0" applyFont="1" applyFill="1" applyAlignment="1" applyProtection="1">
      <alignment horizontal="center" vertical="center" wrapText="1"/>
      <protection locked="0"/>
    </xf>
    <xf numFmtId="0" fontId="1" fillId="10" borderId="21" xfId="0" applyFont="1" applyFill="1" applyBorder="1" applyAlignment="1" applyProtection="1">
      <alignment vertical="center"/>
      <protection locked="0"/>
    </xf>
    <xf numFmtId="0" fontId="1" fillId="10" borderId="22" xfId="0" applyFont="1" applyFill="1" applyBorder="1" applyAlignment="1" applyProtection="1">
      <alignment vertical="center" wrapText="1"/>
      <protection locked="0"/>
    </xf>
    <xf numFmtId="0" fontId="1" fillId="10" borderId="0" xfId="0" applyFont="1" applyFill="1" applyAlignment="1" applyProtection="1">
      <alignment vertical="center" wrapText="1"/>
      <protection locked="0"/>
    </xf>
    <xf numFmtId="0" fontId="1" fillId="10" borderId="22" xfId="0" applyFont="1" applyFill="1" applyBorder="1" applyAlignment="1" applyProtection="1">
      <alignment horizontal="center" vertical="center" wrapText="1"/>
      <protection locked="0"/>
    </xf>
    <xf numFmtId="0" fontId="1" fillId="10" borderId="27" xfId="0" applyFont="1" applyFill="1" applyBorder="1" applyAlignment="1" applyProtection="1">
      <alignment horizontal="center" vertical="center" textRotation="90"/>
      <protection locked="0"/>
    </xf>
    <xf numFmtId="0" fontId="1" fillId="10" borderId="2" xfId="0" applyFont="1" applyFill="1" applyBorder="1" applyAlignment="1" applyProtection="1">
      <alignment horizontal="center" vertical="center" textRotation="90"/>
      <protection locked="0"/>
    </xf>
    <xf numFmtId="0" fontId="1" fillId="10" borderId="32" xfId="0" applyFont="1" applyFill="1" applyBorder="1" applyAlignment="1" applyProtection="1">
      <alignment horizontal="center" vertical="center"/>
      <protection locked="0"/>
    </xf>
    <xf numFmtId="170" fontId="1" fillId="10" borderId="32" xfId="0" applyNumberFormat="1" applyFont="1" applyFill="1" applyBorder="1" applyAlignment="1" applyProtection="1">
      <alignment vertical="center" textRotation="90"/>
      <protection locked="0"/>
    </xf>
    <xf numFmtId="0" fontId="1" fillId="10" borderId="2" xfId="0" applyFont="1" applyFill="1" applyBorder="1" applyAlignment="1" applyProtection="1">
      <alignment horizontal="center" vertical="center" wrapText="1"/>
      <protection locked="0"/>
    </xf>
    <xf numFmtId="0" fontId="1" fillId="10" borderId="32" xfId="0" applyFont="1" applyFill="1" applyBorder="1" applyAlignment="1" applyProtection="1">
      <alignment horizontal="center" vertical="center" textRotation="90"/>
      <protection locked="0"/>
    </xf>
    <xf numFmtId="0" fontId="1" fillId="10" borderId="2" xfId="0" applyFont="1" applyFill="1" applyBorder="1" applyAlignment="1" applyProtection="1">
      <alignment vertical="center" textRotation="90"/>
      <protection locked="0"/>
    </xf>
    <xf numFmtId="0" fontId="1" fillId="10" borderId="32" xfId="0" applyFont="1" applyFill="1" applyBorder="1" applyAlignment="1" applyProtection="1">
      <alignment horizontal="centerContinuous" vertical="center"/>
      <protection locked="0"/>
    </xf>
    <xf numFmtId="0" fontId="1" fillId="10" borderId="52" xfId="0" applyFont="1" applyFill="1" applyBorder="1" applyAlignment="1" applyProtection="1">
      <alignment horizontal="center" vertical="center" wrapText="1"/>
      <protection locked="0"/>
    </xf>
    <xf numFmtId="0" fontId="1" fillId="10" borderId="22" xfId="0" applyFont="1" applyFill="1" applyBorder="1" applyAlignment="1" applyProtection="1">
      <alignment horizontal="center" wrapText="1"/>
      <protection locked="0"/>
    </xf>
    <xf numFmtId="0" fontId="1" fillId="10" borderId="40" xfId="0" applyFont="1" applyFill="1" applyBorder="1" applyAlignment="1" applyProtection="1">
      <alignment horizontal="center" wrapText="1"/>
      <protection locked="0"/>
    </xf>
    <xf numFmtId="0" fontId="1" fillId="0" borderId="0" xfId="0" applyFont="1" applyAlignment="1" applyProtection="1">
      <alignment horizontal="center" wrapText="1"/>
      <protection locked="0"/>
    </xf>
    <xf numFmtId="171" fontId="1" fillId="0" borderId="0" xfId="0" applyNumberFormat="1" applyFont="1" applyAlignment="1" applyProtection="1">
      <alignment horizontal="center" wrapText="1"/>
      <protection locked="0"/>
    </xf>
    <xf numFmtId="171" fontId="1" fillId="0" borderId="32" xfId="0" applyNumberFormat="1" applyFont="1" applyBorder="1" applyAlignment="1" applyProtection="1">
      <alignment horizontal="right" wrapText="1"/>
      <protection locked="0"/>
    </xf>
    <xf numFmtId="0" fontId="1" fillId="9" borderId="44" xfId="0" applyFont="1" applyFill="1" applyBorder="1" applyAlignment="1" applyProtection="1">
      <alignment horizontal="right"/>
      <protection locked="0"/>
    </xf>
    <xf numFmtId="165" fontId="1" fillId="9" borderId="14" xfId="0" applyNumberFormat="1" applyFont="1" applyFill="1" applyBorder="1" applyAlignment="1" applyProtection="1">
      <alignment horizontal="right"/>
      <protection locked="0"/>
    </xf>
    <xf numFmtId="0" fontId="1" fillId="9" borderId="44" xfId="0" applyFont="1" applyFill="1" applyBorder="1" applyProtection="1">
      <protection locked="0"/>
    </xf>
    <xf numFmtId="165" fontId="1" fillId="9" borderId="44" xfId="0" applyNumberFormat="1" applyFont="1" applyFill="1" applyBorder="1" applyAlignment="1" applyProtection="1">
      <alignment horizontal="center"/>
      <protection locked="0"/>
    </xf>
    <xf numFmtId="166" fontId="1" fillId="9" borderId="14" xfId="0" applyNumberFormat="1" applyFont="1" applyFill="1" applyBorder="1" applyAlignment="1" applyProtection="1">
      <alignment horizontal="center"/>
      <protection locked="0"/>
    </xf>
    <xf numFmtId="166" fontId="1" fillId="9" borderId="44" xfId="0" applyNumberFormat="1" applyFont="1" applyFill="1" applyBorder="1" applyAlignment="1" applyProtection="1">
      <alignment horizontal="left"/>
      <protection locked="0"/>
    </xf>
    <xf numFmtId="0" fontId="1" fillId="9" borderId="15" xfId="0" applyFont="1" applyFill="1" applyBorder="1" applyAlignment="1" applyProtection="1">
      <alignment horizontal="left"/>
      <protection locked="0"/>
    </xf>
    <xf numFmtId="0" fontId="1" fillId="13" borderId="15" xfId="0" applyFont="1" applyFill="1" applyBorder="1" applyAlignment="1" applyProtection="1">
      <alignment horizontal="center"/>
      <protection locked="0"/>
    </xf>
    <xf numFmtId="0" fontId="1" fillId="9" borderId="15" xfId="0" applyFont="1" applyFill="1" applyBorder="1" applyProtection="1">
      <protection locked="0"/>
    </xf>
    <xf numFmtId="0" fontId="1" fillId="9" borderId="15" xfId="0" applyFont="1" applyFill="1" applyBorder="1" applyAlignment="1" applyProtection="1">
      <alignment wrapText="1"/>
      <protection locked="0"/>
    </xf>
    <xf numFmtId="0" fontId="1" fillId="13" borderId="15" xfId="0" applyFont="1" applyFill="1" applyBorder="1" applyAlignment="1" applyProtection="1">
      <alignment wrapText="1"/>
      <protection locked="0"/>
    </xf>
    <xf numFmtId="169" fontId="1" fillId="9" borderId="16" xfId="0" applyNumberFormat="1" applyFont="1" applyFill="1" applyBorder="1" applyProtection="1">
      <protection locked="0"/>
    </xf>
    <xf numFmtId="0" fontId="1" fillId="13" borderId="17" xfId="0" applyFont="1" applyFill="1" applyBorder="1" applyAlignment="1" applyProtection="1">
      <alignment horizontal="center"/>
      <protection locked="0"/>
    </xf>
    <xf numFmtId="0" fontId="1" fillId="13" borderId="15" xfId="0" applyFont="1" applyFill="1" applyBorder="1" applyProtection="1">
      <protection locked="0"/>
    </xf>
    <xf numFmtId="0" fontId="1" fillId="13" borderId="16" xfId="0" applyFont="1" applyFill="1" applyBorder="1" applyProtection="1">
      <protection locked="0"/>
    </xf>
    <xf numFmtId="0" fontId="1" fillId="9" borderId="17" xfId="0" applyFont="1" applyFill="1" applyBorder="1" applyAlignment="1" applyProtection="1">
      <alignment horizontal="center"/>
      <protection locked="0"/>
    </xf>
    <xf numFmtId="0" fontId="1" fillId="9" borderId="15" xfId="0" applyFont="1" applyFill="1" applyBorder="1" applyAlignment="1" applyProtection="1">
      <alignment horizontal="center"/>
      <protection locked="0"/>
    </xf>
    <xf numFmtId="49" fontId="1" fillId="9" borderId="15" xfId="0" applyNumberFormat="1" applyFont="1" applyFill="1" applyBorder="1" applyAlignment="1" applyProtection="1">
      <alignment horizontal="center"/>
      <protection locked="0"/>
    </xf>
    <xf numFmtId="0" fontId="1" fillId="9" borderId="15" xfId="0" applyFont="1" applyFill="1" applyBorder="1" applyAlignment="1" applyProtection="1">
      <alignment horizontal="center" wrapText="1"/>
      <protection locked="0"/>
    </xf>
    <xf numFmtId="0" fontId="1" fillId="9" borderId="16" xfId="0" applyFont="1" applyFill="1" applyBorder="1" applyAlignment="1" applyProtection="1">
      <alignment horizontal="center"/>
      <protection locked="0"/>
    </xf>
    <xf numFmtId="0" fontId="1" fillId="13" borderId="16" xfId="0" applyFont="1" applyFill="1" applyBorder="1" applyAlignment="1" applyProtection="1">
      <alignment horizontal="center"/>
      <protection locked="0"/>
    </xf>
    <xf numFmtId="0" fontId="1" fillId="9" borderId="59" xfId="0" applyFont="1" applyFill="1" applyBorder="1" applyAlignment="1" applyProtection="1">
      <alignment wrapText="1"/>
      <protection locked="0"/>
    </xf>
    <xf numFmtId="0" fontId="1" fillId="13" borderId="17" xfId="0" applyFont="1" applyFill="1" applyBorder="1" applyProtection="1">
      <protection locked="0"/>
    </xf>
    <xf numFmtId="49" fontId="1" fillId="13" borderId="17" xfId="0" applyNumberFormat="1" applyFont="1" applyFill="1" applyBorder="1" applyAlignment="1" applyProtection="1">
      <alignment horizontal="center"/>
      <protection locked="0"/>
    </xf>
    <xf numFmtId="49" fontId="1" fillId="13" borderId="16" xfId="0" applyNumberFormat="1" applyFont="1" applyFill="1" applyBorder="1" applyAlignment="1" applyProtection="1">
      <alignment horizontal="center"/>
      <protection locked="0"/>
    </xf>
    <xf numFmtId="170" fontId="1" fillId="13" borderId="16" xfId="0" applyNumberFormat="1" applyFont="1" applyFill="1" applyBorder="1" applyAlignment="1" applyProtection="1">
      <alignment horizontal="center"/>
      <protection locked="0"/>
    </xf>
    <xf numFmtId="0" fontId="1" fillId="13" borderId="35" xfId="0" applyFont="1" applyFill="1" applyBorder="1" applyAlignment="1" applyProtection="1">
      <alignment horizontal="center"/>
      <protection locked="0"/>
    </xf>
    <xf numFmtId="0" fontId="1" fillId="13" borderId="59" xfId="0" applyFont="1" applyFill="1" applyBorder="1" applyAlignment="1" applyProtection="1">
      <alignment horizontal="center"/>
      <protection locked="0"/>
    </xf>
    <xf numFmtId="0" fontId="1" fillId="0" borderId="14" xfId="0" applyFont="1" applyBorder="1" applyAlignment="1" applyProtection="1">
      <alignment horizontal="center"/>
      <protection locked="0"/>
    </xf>
    <xf numFmtId="171" fontId="1" fillId="0" borderId="15" xfId="0" applyNumberFormat="1" applyFont="1" applyBorder="1" applyProtection="1">
      <protection locked="0"/>
    </xf>
    <xf numFmtId="172" fontId="1" fillId="0" borderId="16" xfId="2" applyNumberFormat="1" applyFont="1" applyFill="1" applyBorder="1" applyAlignment="1" applyProtection="1">
      <alignment horizontal="right"/>
      <protection locked="0"/>
    </xf>
    <xf numFmtId="0" fontId="1" fillId="0" borderId="29" xfId="0" applyFont="1" applyBorder="1" applyAlignment="1" applyProtection="1">
      <alignment horizontal="right"/>
      <protection locked="0"/>
    </xf>
    <xf numFmtId="165" fontId="1" fillId="0" borderId="5" xfId="0" applyNumberFormat="1" applyFont="1" applyBorder="1" applyAlignment="1" applyProtection="1">
      <alignment horizontal="right"/>
      <protection locked="0"/>
    </xf>
    <xf numFmtId="0" fontId="1" fillId="0" borderId="29" xfId="0" applyFont="1" applyBorder="1" applyProtection="1">
      <protection locked="0"/>
    </xf>
    <xf numFmtId="165" fontId="1" fillId="0" borderId="29" xfId="0" applyNumberFormat="1" applyFont="1" applyBorder="1" applyAlignment="1" applyProtection="1">
      <alignment horizontal="center"/>
      <protection locked="0"/>
    </xf>
    <xf numFmtId="166" fontId="1" fillId="0" borderId="5" xfId="0" applyNumberFormat="1" applyFont="1" applyBorder="1" applyAlignment="1" applyProtection="1">
      <alignment horizontal="center"/>
      <protection locked="0"/>
    </xf>
    <xf numFmtId="166" fontId="1" fillId="0" borderId="29" xfId="0" applyNumberFormat="1" applyFont="1" applyBorder="1" applyAlignment="1" applyProtection="1">
      <alignment horizontal="left"/>
      <protection locked="0"/>
    </xf>
    <xf numFmtId="0" fontId="1" fillId="0" borderId="3" xfId="0" applyFont="1" applyBorder="1" applyAlignment="1" applyProtection="1">
      <alignment horizontal="left"/>
      <protection locked="0"/>
    </xf>
    <xf numFmtId="0" fontId="1" fillId="0" borderId="3" xfId="0" applyFont="1" applyBorder="1" applyProtection="1">
      <protection locked="0"/>
    </xf>
    <xf numFmtId="0" fontId="1" fillId="0" borderId="3" xfId="0" applyFont="1" applyBorder="1" applyAlignment="1" applyProtection="1">
      <alignment wrapText="1"/>
      <protection locked="0"/>
    </xf>
    <xf numFmtId="0" fontId="1" fillId="10" borderId="3" xfId="0" applyFont="1" applyFill="1" applyBorder="1" applyAlignment="1" applyProtection="1">
      <alignment wrapText="1"/>
      <protection locked="0"/>
    </xf>
    <xf numFmtId="169" fontId="1" fillId="0" borderId="4" xfId="0" applyNumberFormat="1" applyFont="1" applyBorder="1" applyProtection="1">
      <protection locked="0"/>
    </xf>
    <xf numFmtId="0" fontId="1" fillId="10" borderId="6" xfId="0" applyFont="1" applyFill="1" applyBorder="1" applyAlignment="1" applyProtection="1">
      <alignment horizontal="center"/>
      <protection locked="0"/>
    </xf>
    <xf numFmtId="0" fontId="1" fillId="10" borderId="3" xfId="0" applyFont="1" applyFill="1" applyBorder="1" applyProtection="1">
      <protection locked="0"/>
    </xf>
    <xf numFmtId="0" fontId="1" fillId="10" borderId="4" xfId="0" applyFont="1" applyFill="1" applyBorder="1" applyProtection="1">
      <protection locked="0"/>
    </xf>
    <xf numFmtId="0" fontId="1" fillId="0" borderId="6" xfId="0" applyFont="1" applyBorder="1" applyAlignment="1" applyProtection="1">
      <alignment horizontal="center"/>
      <protection locked="0"/>
    </xf>
    <xf numFmtId="0" fontId="1" fillId="0" borderId="3" xfId="0" applyFont="1" applyBorder="1" applyAlignment="1" applyProtection="1">
      <alignment horizontal="center"/>
      <protection locked="0"/>
    </xf>
    <xf numFmtId="49" fontId="1" fillId="0" borderId="3" xfId="0" applyNumberFormat="1" applyFont="1" applyBorder="1" applyAlignment="1" applyProtection="1">
      <alignment horizontal="center"/>
      <protection locked="0"/>
    </xf>
    <xf numFmtId="0" fontId="1" fillId="0" borderId="3" xfId="0" applyFont="1" applyBorder="1" applyAlignment="1" applyProtection="1">
      <alignment horizontal="center" wrapText="1"/>
      <protection locked="0"/>
    </xf>
    <xf numFmtId="0" fontId="1" fillId="0" borderId="4" xfId="0" applyFont="1" applyBorder="1" applyAlignment="1" applyProtection="1">
      <alignment horizontal="center"/>
      <protection locked="0"/>
    </xf>
    <xf numFmtId="0" fontId="1" fillId="10" borderId="4" xfId="0" applyFont="1" applyFill="1" applyBorder="1" applyAlignment="1" applyProtection="1">
      <alignment horizontal="center"/>
      <protection locked="0"/>
    </xf>
    <xf numFmtId="0" fontId="1" fillId="0" borderId="32" xfId="0" applyFont="1" applyBorder="1" applyAlignment="1" applyProtection="1">
      <alignment wrapText="1"/>
      <protection locked="0"/>
    </xf>
    <xf numFmtId="0" fontId="1" fillId="10" borderId="6" xfId="0" applyFont="1" applyFill="1" applyBorder="1" applyProtection="1">
      <protection locked="0"/>
    </xf>
    <xf numFmtId="49" fontId="1" fillId="10" borderId="6" xfId="0" applyNumberFormat="1" applyFont="1" applyFill="1" applyBorder="1" applyAlignment="1" applyProtection="1">
      <alignment horizontal="center"/>
      <protection locked="0"/>
    </xf>
    <xf numFmtId="49" fontId="1" fillId="10" borderId="4" xfId="0" applyNumberFormat="1" applyFont="1" applyFill="1" applyBorder="1" applyAlignment="1" applyProtection="1">
      <alignment horizontal="center"/>
      <protection locked="0"/>
    </xf>
    <xf numFmtId="0" fontId="1" fillId="10" borderId="37" xfId="0" applyFont="1" applyFill="1" applyBorder="1" applyAlignment="1" applyProtection="1">
      <alignment horizontal="center"/>
      <protection locked="0"/>
    </xf>
    <xf numFmtId="0" fontId="1" fillId="0" borderId="5" xfId="0" applyFont="1" applyBorder="1" applyAlignment="1">
      <alignment horizontal="center"/>
    </xf>
    <xf numFmtId="171" fontId="1" fillId="0" borderId="3" xfId="0" applyNumberFormat="1" applyFont="1" applyBorder="1" applyProtection="1">
      <protection locked="0"/>
    </xf>
    <xf numFmtId="171" fontId="1" fillId="0" borderId="4" xfId="2" applyNumberFormat="1" applyFont="1" applyFill="1" applyBorder="1" applyAlignment="1" applyProtection="1">
      <alignment horizontal="right"/>
      <protection locked="0"/>
    </xf>
    <xf numFmtId="1" fontId="1" fillId="0" borderId="47" xfId="0" quotePrefix="1" applyNumberFormat="1" applyFont="1" applyBorder="1" applyAlignment="1" applyProtection="1">
      <alignment horizontal="left"/>
      <protection locked="0"/>
    </xf>
    <xf numFmtId="1" fontId="1" fillId="0" borderId="47" xfId="0" quotePrefix="1" applyNumberFormat="1" applyFont="1" applyBorder="1" applyAlignment="1" applyProtection="1">
      <alignment horizontal="center"/>
      <protection locked="0"/>
    </xf>
    <xf numFmtId="0" fontId="1" fillId="0" borderId="47" xfId="0" quotePrefix="1" applyFont="1" applyBorder="1" applyAlignment="1" applyProtection="1">
      <alignment horizontal="left"/>
      <protection locked="0"/>
    </xf>
    <xf numFmtId="0" fontId="1" fillId="0" borderId="36" xfId="0" applyFont="1" applyBorder="1" applyAlignment="1" applyProtection="1">
      <alignment horizontal="center"/>
      <protection locked="0"/>
    </xf>
    <xf numFmtId="0" fontId="1" fillId="10" borderId="36" xfId="0" quotePrefix="1" applyFont="1" applyFill="1" applyBorder="1" applyAlignment="1" applyProtection="1">
      <alignment horizontal="center"/>
      <protection locked="0"/>
    </xf>
    <xf numFmtId="0" fontId="1" fillId="0" borderId="36" xfId="0" quotePrefix="1" applyFont="1" applyBorder="1" applyAlignment="1" applyProtection="1">
      <alignment horizontal="center"/>
      <protection locked="0"/>
    </xf>
    <xf numFmtId="0" fontId="1" fillId="0" borderId="36" xfId="0" quotePrefix="1" applyFont="1" applyBorder="1" applyAlignment="1" applyProtection="1">
      <alignment horizontal="center" wrapText="1"/>
      <protection locked="0"/>
    </xf>
    <xf numFmtId="0" fontId="1" fillId="0" borderId="48" xfId="0" quotePrefix="1" applyFont="1" applyBorder="1" applyAlignment="1" applyProtection="1">
      <alignment horizontal="center"/>
      <protection locked="0"/>
    </xf>
    <xf numFmtId="0" fontId="1" fillId="10" borderId="49" xfId="0" quotePrefix="1" applyFont="1" applyFill="1" applyBorder="1" applyAlignment="1" applyProtection="1">
      <alignment horizontal="center"/>
      <protection locked="0"/>
    </xf>
    <xf numFmtId="0" fontId="1" fillId="10" borderId="48" xfId="0" quotePrefix="1" applyFont="1" applyFill="1" applyBorder="1" applyAlignment="1" applyProtection="1">
      <alignment horizontal="center"/>
      <protection locked="0"/>
    </xf>
    <xf numFmtId="0" fontId="1" fillId="0" borderId="49" xfId="0" quotePrefix="1" applyFont="1" applyBorder="1" applyAlignment="1" applyProtection="1">
      <alignment horizontal="center"/>
      <protection locked="0"/>
    </xf>
    <xf numFmtId="49" fontId="1" fillId="0" borderId="36" xfId="0" quotePrefix="1" applyNumberFormat="1" applyFont="1" applyBorder="1" applyAlignment="1" applyProtection="1">
      <alignment horizontal="center"/>
      <protection locked="0"/>
    </xf>
    <xf numFmtId="0" fontId="1" fillId="10" borderId="48" xfId="0" quotePrefix="1" applyFont="1" applyFill="1" applyBorder="1" applyAlignment="1" applyProtection="1">
      <alignment horizontal="center" vertical="center" wrapText="1"/>
      <protection locked="0"/>
    </xf>
    <xf numFmtId="0" fontId="1" fillId="0" borderId="50" xfId="0" quotePrefix="1" applyFont="1" applyBorder="1" applyAlignment="1" applyProtection="1">
      <alignment horizontal="center" wrapText="1"/>
      <protection locked="0"/>
    </xf>
    <xf numFmtId="0" fontId="1" fillId="10" borderId="50" xfId="0" quotePrefix="1" applyFont="1" applyFill="1" applyBorder="1" applyAlignment="1" applyProtection="1">
      <alignment horizontal="center"/>
      <protection locked="0"/>
    </xf>
    <xf numFmtId="0" fontId="1" fillId="10" borderId="58" xfId="0" quotePrefix="1" applyFont="1" applyFill="1" applyBorder="1" applyAlignment="1" applyProtection="1">
      <alignment horizontal="center"/>
      <protection locked="0"/>
    </xf>
    <xf numFmtId="171" fontId="1" fillId="0" borderId="36" xfId="0" quotePrefix="1" applyNumberFormat="1" applyFont="1" applyBorder="1" applyAlignment="1" applyProtection="1">
      <alignment horizontal="center"/>
      <protection locked="0"/>
    </xf>
    <xf numFmtId="171" fontId="1" fillId="0" borderId="48" xfId="0" quotePrefix="1" applyNumberFormat="1" applyFont="1" applyBorder="1" applyAlignment="1" applyProtection="1">
      <alignment horizontal="center"/>
      <protection locked="0"/>
    </xf>
    <xf numFmtId="0" fontId="13" fillId="0" borderId="27" xfId="0" quotePrefix="1" applyFont="1" applyBorder="1" applyAlignment="1" applyProtection="1">
      <alignment horizontal="center" vertical="center"/>
      <protection locked="0"/>
    </xf>
    <xf numFmtId="0" fontId="1" fillId="0" borderId="29" xfId="0" quotePrefix="1" applyFont="1" applyBorder="1" applyAlignment="1" applyProtection="1">
      <alignment horizontal="right" vertical="center"/>
      <protection locked="0"/>
    </xf>
    <xf numFmtId="165" fontId="3" fillId="0" borderId="2" xfId="0" applyNumberFormat="1" applyFont="1" applyBorder="1" applyAlignment="1" applyProtection="1">
      <alignment horizontal="right" vertical="center"/>
      <protection locked="0"/>
    </xf>
    <xf numFmtId="165" fontId="1" fillId="0" borderId="2" xfId="0" applyNumberFormat="1" applyFont="1" applyBorder="1" applyAlignment="1" applyProtection="1">
      <alignment horizontal="center" vertical="center"/>
      <protection locked="0"/>
    </xf>
    <xf numFmtId="166" fontId="1" fillId="0" borderId="2" xfId="0" applyNumberFormat="1" applyFont="1" applyBorder="1" applyAlignment="1" applyProtection="1">
      <alignment horizontal="center" vertical="center"/>
      <protection locked="0"/>
    </xf>
    <xf numFmtId="166" fontId="1" fillId="0" borderId="2" xfId="0" quotePrefix="1" applyNumberFormat="1" applyFont="1" applyBorder="1" applyAlignment="1" applyProtection="1">
      <alignment horizontal="left" vertical="center"/>
      <protection locked="0"/>
    </xf>
    <xf numFmtId="0" fontId="3" fillId="0" borderId="5" xfId="0" applyFont="1" applyBorder="1" applyAlignment="1" applyProtection="1">
      <alignment horizontal="left" vertical="center"/>
      <protection locked="0"/>
    </xf>
    <xf numFmtId="0" fontId="1" fillId="0" borderId="3" xfId="0" applyFont="1" applyBorder="1" applyAlignment="1" applyProtection="1">
      <alignment horizontal="left" vertical="center"/>
      <protection locked="0"/>
    </xf>
    <xf numFmtId="0" fontId="1" fillId="10" borderId="3" xfId="0" applyFont="1" applyFill="1" applyBorder="1" applyAlignment="1" applyProtection="1">
      <alignment horizontal="center" vertical="center"/>
      <protection locked="0"/>
    </xf>
    <xf numFmtId="0" fontId="1" fillId="10" borderId="29" xfId="0" applyFont="1" applyFill="1" applyBorder="1" applyAlignment="1" applyProtection="1">
      <alignment vertical="center" wrapText="1"/>
      <protection locked="0"/>
    </xf>
    <xf numFmtId="169" fontId="1" fillId="0" borderId="4" xfId="0" applyNumberFormat="1" applyFont="1" applyBorder="1" applyAlignment="1" applyProtection="1">
      <alignment horizontal="center" vertical="center"/>
      <protection locked="0"/>
    </xf>
    <xf numFmtId="0" fontId="1" fillId="10" borderId="6" xfId="0" applyFont="1" applyFill="1" applyBorder="1" applyAlignment="1" applyProtection="1">
      <alignment horizontal="center" vertical="center"/>
      <protection locked="0"/>
    </xf>
    <xf numFmtId="0" fontId="31" fillId="10" borderId="3" xfId="0" applyFont="1" applyFill="1" applyBorder="1" applyAlignment="1" applyProtection="1">
      <alignment horizontal="center" vertical="center"/>
      <protection locked="0"/>
    </xf>
    <xf numFmtId="0" fontId="1" fillId="10" borderId="4" xfId="0" applyFont="1" applyFill="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0" fontId="1" fillId="0" borderId="3" xfId="0" applyFont="1" applyBorder="1" applyAlignment="1" applyProtection="1">
      <alignment horizontal="center" vertical="center"/>
      <protection locked="0"/>
    </xf>
    <xf numFmtId="168" fontId="1" fillId="0" borderId="3" xfId="0" applyNumberFormat="1" applyFont="1" applyBorder="1" applyAlignment="1" applyProtection="1">
      <alignment horizontal="center" vertical="center"/>
      <protection locked="0"/>
    </xf>
    <xf numFmtId="1" fontId="1" fillId="10" borderId="3" xfId="0" applyNumberFormat="1" applyFont="1" applyFill="1" applyBorder="1" applyAlignment="1" applyProtection="1">
      <alignment horizontal="center" vertical="center"/>
      <protection locked="0"/>
    </xf>
    <xf numFmtId="49" fontId="1" fillId="0" borderId="3" xfId="0" applyNumberFormat="1" applyFont="1" applyBorder="1" applyAlignment="1" applyProtection="1">
      <alignment horizontal="center" vertical="center"/>
      <protection locked="0"/>
    </xf>
    <xf numFmtId="0" fontId="1" fillId="0" borderId="3" xfId="0" applyFont="1" applyBorder="1" applyAlignment="1" applyProtection="1">
      <alignment horizontal="center" vertical="center" wrapText="1"/>
      <protection locked="0"/>
    </xf>
    <xf numFmtId="11" fontId="1" fillId="0" borderId="4" xfId="0" applyNumberFormat="1" applyFont="1" applyBorder="1" applyAlignment="1" applyProtection="1">
      <alignment horizontal="center" vertical="center"/>
      <protection locked="0"/>
    </xf>
    <xf numFmtId="0" fontId="1" fillId="10" borderId="5" xfId="0" applyFont="1" applyFill="1" applyBorder="1" applyAlignment="1" applyProtection="1">
      <alignment horizontal="center" vertical="center"/>
      <protection locked="0"/>
    </xf>
    <xf numFmtId="1" fontId="31" fillId="10" borderId="3" xfId="0" applyNumberFormat="1" applyFont="1" applyFill="1" applyBorder="1" applyAlignment="1" applyProtection="1">
      <alignment horizontal="center" vertical="center"/>
      <protection locked="0"/>
    </xf>
    <xf numFmtId="1" fontId="31" fillId="10" borderId="4" xfId="0" applyNumberFormat="1" applyFont="1" applyFill="1" applyBorder="1" applyAlignment="1" applyProtection="1">
      <alignment horizontal="center" vertical="center"/>
      <protection locked="0"/>
    </xf>
    <xf numFmtId="1" fontId="1" fillId="0" borderId="4" xfId="0" applyNumberFormat="1" applyFont="1" applyBorder="1" applyAlignment="1" applyProtection="1">
      <alignment horizontal="center" vertical="center"/>
      <protection locked="0"/>
    </xf>
    <xf numFmtId="0" fontId="1" fillId="10" borderId="2" xfId="0" applyFont="1" applyFill="1" applyBorder="1" applyAlignment="1" applyProtection="1">
      <alignment horizontal="center" vertical="center"/>
      <protection locked="0"/>
    </xf>
    <xf numFmtId="1" fontId="1" fillId="10" borderId="4" xfId="0" applyNumberFormat="1" applyFont="1" applyFill="1" applyBorder="1" applyAlignment="1" applyProtection="1">
      <alignment horizontal="center" vertical="center"/>
      <protection locked="0"/>
    </xf>
    <xf numFmtId="0" fontId="1" fillId="0" borderId="32" xfId="0" applyFont="1" applyBorder="1" applyAlignment="1" applyProtection="1">
      <alignment horizontal="left" vertical="center" wrapText="1"/>
      <protection locked="0"/>
    </xf>
    <xf numFmtId="0" fontId="1" fillId="10" borderId="4" xfId="0" applyFont="1" applyFill="1" applyBorder="1" applyAlignment="1" applyProtection="1">
      <alignment horizontal="left" vertical="center"/>
      <protection locked="0"/>
    </xf>
    <xf numFmtId="0" fontId="1" fillId="10" borderId="6" xfId="0" applyFont="1" applyFill="1" applyBorder="1" applyAlignment="1" applyProtection="1">
      <alignment vertical="center"/>
      <protection locked="0"/>
    </xf>
    <xf numFmtId="0" fontId="1" fillId="10" borderId="3" xfId="0" applyFont="1" applyFill="1" applyBorder="1" applyAlignment="1" applyProtection="1">
      <alignment vertical="center"/>
      <protection locked="0"/>
    </xf>
    <xf numFmtId="0" fontId="1" fillId="10" borderId="4" xfId="0" applyFont="1" applyFill="1" applyBorder="1" applyAlignment="1" applyProtection="1">
      <alignment vertical="center"/>
      <protection locked="0"/>
    </xf>
    <xf numFmtId="0" fontId="1" fillId="10" borderId="5" xfId="0" applyFont="1" applyFill="1" applyBorder="1" applyAlignment="1" applyProtection="1">
      <alignment vertical="center"/>
      <protection locked="0"/>
    </xf>
    <xf numFmtId="14" fontId="1" fillId="10" borderId="3" xfId="0" quotePrefix="1" applyNumberFormat="1" applyFont="1" applyFill="1" applyBorder="1" applyAlignment="1" applyProtection="1">
      <alignment horizontal="center" vertical="center"/>
      <protection locked="0"/>
    </xf>
    <xf numFmtId="14" fontId="7" fillId="10" borderId="4" xfId="0" quotePrefix="1" applyNumberFormat="1" applyFont="1" applyFill="1" applyBorder="1" applyAlignment="1" applyProtection="1">
      <alignment horizontal="center" vertical="center"/>
      <protection locked="0"/>
    </xf>
    <xf numFmtId="173" fontId="1" fillId="10" borderId="3" xfId="0" applyNumberFormat="1" applyFont="1" applyFill="1" applyBorder="1" applyAlignment="1" applyProtection="1">
      <alignment horizontal="center" vertical="center"/>
      <protection locked="0"/>
    </xf>
    <xf numFmtId="173" fontId="1" fillId="10" borderId="4" xfId="0" applyNumberFormat="1" applyFont="1" applyFill="1" applyBorder="1" applyAlignment="1" applyProtection="1">
      <alignment horizontal="center" vertical="center"/>
      <protection locked="0"/>
    </xf>
    <xf numFmtId="0" fontId="1" fillId="10" borderId="29" xfId="0" applyFont="1" applyFill="1" applyBorder="1" applyAlignment="1" applyProtection="1">
      <alignment horizontal="center" vertical="center"/>
      <protection locked="0"/>
    </xf>
    <xf numFmtId="0" fontId="7" fillId="10" borderId="4" xfId="0" applyFont="1" applyFill="1" applyBorder="1" applyAlignment="1" applyProtection="1">
      <alignment horizontal="left" vertical="center"/>
      <protection locked="0"/>
    </xf>
    <xf numFmtId="1" fontId="1" fillId="10" borderId="6" xfId="0" applyNumberFormat="1" applyFont="1" applyFill="1" applyBorder="1" applyAlignment="1" applyProtection="1">
      <alignment horizontal="center" vertical="center"/>
      <protection locked="0"/>
    </xf>
    <xf numFmtId="0" fontId="4" fillId="10" borderId="29" xfId="0" applyFont="1" applyFill="1" applyBorder="1" applyAlignment="1" applyProtection="1">
      <alignment horizontal="center" vertical="center"/>
      <protection locked="0"/>
    </xf>
    <xf numFmtId="1" fontId="7" fillId="10" borderId="4" xfId="0" applyNumberFormat="1" applyFont="1" applyFill="1" applyBorder="1" applyAlignment="1" applyProtection="1">
      <alignment horizontal="left" vertical="center"/>
      <protection locked="0"/>
    </xf>
    <xf numFmtId="11" fontId="1" fillId="10" borderId="6" xfId="0" quotePrefix="1" applyNumberFormat="1" applyFont="1" applyFill="1" applyBorder="1" applyAlignment="1" applyProtection="1">
      <alignment horizontal="center" vertical="center"/>
      <protection locked="0"/>
    </xf>
    <xf numFmtId="0" fontId="7" fillId="10" borderId="4" xfId="0" applyFont="1" applyFill="1" applyBorder="1" applyAlignment="1" applyProtection="1">
      <alignment horizontal="center" vertical="center"/>
      <protection locked="0"/>
    </xf>
    <xf numFmtId="0" fontId="1" fillId="10" borderId="37" xfId="0" applyFont="1" applyFill="1" applyBorder="1" applyAlignment="1" applyProtection="1">
      <alignment horizontal="center" vertical="center"/>
      <protection locked="0"/>
    </xf>
    <xf numFmtId="0" fontId="1" fillId="10" borderId="32" xfId="0" applyFont="1" applyFill="1" applyBorder="1" applyAlignment="1" applyProtection="1">
      <alignment horizontal="left" vertical="center"/>
      <protection locked="0"/>
    </xf>
    <xf numFmtId="0" fontId="1" fillId="10" borderId="6" xfId="0" applyFont="1" applyFill="1" applyBorder="1" applyAlignment="1" applyProtection="1">
      <alignment horizontal="left" vertical="center"/>
      <protection locked="0"/>
    </xf>
    <xf numFmtId="171" fontId="1" fillId="0" borderId="6" xfId="3" applyNumberFormat="1" applyBorder="1" applyAlignment="1" applyProtection="1">
      <alignment horizontal="center" vertical="center"/>
      <protection locked="0"/>
    </xf>
    <xf numFmtId="171" fontId="1" fillId="0" borderId="3" xfId="0" applyNumberFormat="1" applyFont="1" applyBorder="1" applyAlignment="1" applyProtection="1">
      <alignment vertical="center"/>
      <protection locked="0"/>
    </xf>
    <xf numFmtId="171" fontId="1" fillId="0" borderId="4" xfId="0" applyNumberFormat="1" applyFont="1" applyBorder="1" applyAlignment="1" applyProtection="1">
      <alignment horizontal="right" vertical="center"/>
      <protection locked="0"/>
    </xf>
    <xf numFmtId="0" fontId="3" fillId="0" borderId="7" xfId="0" applyFont="1" applyBorder="1" applyAlignment="1" applyProtection="1">
      <alignment horizontal="left" vertical="center"/>
      <protection locked="0"/>
    </xf>
    <xf numFmtId="0" fontId="1" fillId="0" borderId="8" xfId="0" applyFont="1" applyBorder="1" applyAlignment="1" applyProtection="1">
      <alignment vertical="center"/>
      <protection locked="0"/>
    </xf>
    <xf numFmtId="0" fontId="1" fillId="0" borderId="8" xfId="0" applyFont="1" applyBorder="1" applyAlignment="1" applyProtection="1">
      <alignment vertical="center" wrapText="1"/>
      <protection locked="0"/>
    </xf>
    <xf numFmtId="11" fontId="1" fillId="0" borderId="9" xfId="0" applyNumberFormat="1" applyFont="1" applyBorder="1" applyAlignment="1" applyProtection="1">
      <alignment horizontal="center" vertical="center"/>
      <protection locked="0"/>
    </xf>
    <xf numFmtId="0" fontId="1" fillId="0" borderId="33" xfId="0" applyFont="1" applyBorder="1" applyAlignment="1" applyProtection="1">
      <alignment horizontal="left" vertical="center" wrapText="1"/>
      <protection locked="0"/>
    </xf>
    <xf numFmtId="0" fontId="4" fillId="10" borderId="51" xfId="0" applyFont="1" applyFill="1" applyBorder="1" applyAlignment="1" applyProtection="1">
      <alignment horizontal="center" vertical="center"/>
      <protection locked="0"/>
    </xf>
    <xf numFmtId="1" fontId="7" fillId="10" borderId="9" xfId="0" applyNumberFormat="1" applyFont="1" applyFill="1" applyBorder="1" applyAlignment="1" applyProtection="1">
      <alignment horizontal="left" vertical="center"/>
      <protection locked="0"/>
    </xf>
    <xf numFmtId="11" fontId="1" fillId="10" borderId="10" xfId="0" quotePrefix="1" applyNumberFormat="1" applyFont="1" applyFill="1" applyBorder="1" applyAlignment="1" applyProtection="1">
      <alignment horizontal="center" vertical="center"/>
      <protection locked="0"/>
    </xf>
    <xf numFmtId="0" fontId="7" fillId="10" borderId="9" xfId="0" applyFont="1" applyFill="1" applyBorder="1" applyAlignment="1" applyProtection="1">
      <alignment horizontal="center" vertical="center"/>
      <protection locked="0"/>
    </xf>
    <xf numFmtId="0" fontId="1" fillId="10" borderId="34" xfId="0" applyFont="1" applyFill="1" applyBorder="1" applyAlignment="1" applyProtection="1">
      <alignment horizontal="center" vertical="center"/>
      <protection locked="0"/>
    </xf>
    <xf numFmtId="0" fontId="1" fillId="10" borderId="33" xfId="0" applyFont="1" applyFill="1" applyBorder="1" applyAlignment="1" applyProtection="1">
      <alignment horizontal="left" vertical="center"/>
      <protection locked="0"/>
    </xf>
    <xf numFmtId="0" fontId="1" fillId="10" borderId="10" xfId="0" applyFont="1" applyFill="1" applyBorder="1" applyAlignment="1" applyProtection="1">
      <alignment horizontal="left" vertical="center"/>
      <protection locked="0"/>
    </xf>
    <xf numFmtId="171" fontId="1" fillId="0" borderId="10" xfId="3" applyNumberFormat="1" applyBorder="1" applyAlignment="1" applyProtection="1">
      <alignment horizontal="center" vertical="center"/>
      <protection locked="0"/>
    </xf>
    <xf numFmtId="171" fontId="1" fillId="0" borderId="8" xfId="0" applyNumberFormat="1" applyFont="1" applyBorder="1" applyAlignment="1" applyProtection="1">
      <alignment vertical="center"/>
      <protection locked="0"/>
    </xf>
    <xf numFmtId="171" fontId="1" fillId="0" borderId="9" xfId="0" applyNumberFormat="1" applyFont="1" applyBorder="1" applyAlignment="1" applyProtection="1">
      <alignment horizontal="right" vertical="center"/>
      <protection locked="0"/>
    </xf>
    <xf numFmtId="11" fontId="1" fillId="0" borderId="9" xfId="0" quotePrefix="1" applyNumberFormat="1" applyFont="1" applyBorder="1" applyAlignment="1" applyProtection="1">
      <alignment horizontal="center" vertical="center"/>
      <protection locked="0"/>
    </xf>
    <xf numFmtId="14" fontId="1" fillId="10" borderId="8" xfId="0" applyNumberFormat="1" applyFont="1" applyFill="1" applyBorder="1" applyAlignment="1" applyProtection="1">
      <alignment horizontal="center" vertical="center"/>
      <protection locked="0"/>
    </xf>
    <xf numFmtId="0" fontId="1" fillId="10" borderId="8" xfId="0" applyFont="1" applyFill="1" applyBorder="1" applyAlignment="1" applyProtection="1">
      <alignment vertical="center" wrapText="1"/>
      <protection locked="0"/>
    </xf>
    <xf numFmtId="0" fontId="1" fillId="10" borderId="51" xfId="0" quotePrefix="1" applyFont="1" applyFill="1" applyBorder="1" applyAlignment="1" applyProtection="1">
      <alignment horizontal="center" vertical="center"/>
      <protection locked="0"/>
    </xf>
    <xf numFmtId="0" fontId="13" fillId="0" borderId="60" xfId="0" quotePrefix="1" applyFont="1" applyBorder="1" applyAlignment="1" applyProtection="1">
      <alignment horizontal="center" vertical="center"/>
      <protection locked="0"/>
    </xf>
    <xf numFmtId="14" fontId="4" fillId="10" borderId="51" xfId="0" applyNumberFormat="1" applyFont="1" applyFill="1" applyBorder="1" applyAlignment="1" applyProtection="1">
      <alignment horizontal="center" vertical="center"/>
      <protection locked="0"/>
    </xf>
    <xf numFmtId="0" fontId="1" fillId="10" borderId="51" xfId="0" applyFont="1" applyFill="1" applyBorder="1" applyAlignment="1" applyProtection="1">
      <alignment vertical="center"/>
      <protection locked="0"/>
    </xf>
    <xf numFmtId="0" fontId="1" fillId="0" borderId="9" xfId="0" quotePrefix="1" applyFont="1" applyBorder="1" applyAlignment="1" applyProtection="1">
      <alignment horizontal="center" vertical="center"/>
      <protection locked="0"/>
    </xf>
    <xf numFmtId="0" fontId="1" fillId="10" borderId="8" xfId="0" quotePrefix="1" applyFont="1" applyFill="1" applyBorder="1" applyAlignment="1" applyProtection="1">
      <alignment horizontal="center" vertical="center"/>
      <protection locked="0"/>
    </xf>
    <xf numFmtId="49" fontId="1" fillId="0" borderId="8" xfId="0" quotePrefix="1" applyNumberFormat="1" applyFont="1" applyBorder="1" applyAlignment="1" applyProtection="1">
      <alignment horizontal="center" vertical="center"/>
      <protection locked="0"/>
    </xf>
    <xf numFmtId="0" fontId="1" fillId="10" borderId="10" xfId="0" quotePrefix="1" applyFont="1" applyFill="1" applyBorder="1" applyAlignment="1" applyProtection="1">
      <alignment horizontal="center" vertical="center"/>
      <protection locked="0"/>
    </xf>
    <xf numFmtId="0" fontId="1" fillId="0" borderId="10" xfId="0" quotePrefix="1" applyFont="1" applyBorder="1" applyAlignment="1" applyProtection="1">
      <alignment horizontal="center" vertical="center"/>
      <protection locked="0"/>
    </xf>
    <xf numFmtId="0" fontId="1" fillId="0" borderId="8" xfId="0" quotePrefix="1" applyFont="1" applyBorder="1" applyAlignment="1" applyProtection="1">
      <alignment horizontal="center" vertical="center"/>
      <protection locked="0"/>
    </xf>
    <xf numFmtId="1" fontId="7" fillId="10" borderId="9" xfId="0" applyNumberFormat="1" applyFont="1" applyFill="1" applyBorder="1" applyAlignment="1" applyProtection="1">
      <alignment horizontal="center" vertical="center"/>
      <protection locked="0"/>
    </xf>
    <xf numFmtId="173" fontId="1" fillId="10" borderId="10" xfId="0" applyNumberFormat="1" applyFont="1" applyFill="1" applyBorder="1" applyAlignment="1" applyProtection="1">
      <alignment horizontal="center" vertical="center"/>
      <protection locked="0"/>
    </xf>
    <xf numFmtId="0" fontId="13" fillId="0" borderId="28" xfId="0" quotePrefix="1" applyFont="1" applyBorder="1" applyAlignment="1" applyProtection="1">
      <alignment horizontal="center" vertical="center"/>
      <protection locked="0"/>
    </xf>
    <xf numFmtId="0" fontId="3" fillId="0" borderId="14" xfId="0" applyFont="1" applyBorder="1" applyAlignment="1" applyProtection="1">
      <alignment horizontal="left" vertical="center"/>
      <protection locked="0"/>
    </xf>
    <xf numFmtId="0" fontId="1" fillId="0" borderId="15" xfId="0" applyFont="1" applyBorder="1" applyAlignment="1" applyProtection="1">
      <alignment horizontal="left" vertical="center"/>
      <protection locked="0"/>
    </xf>
    <xf numFmtId="0" fontId="1" fillId="10" borderId="15" xfId="0" applyFont="1" applyFill="1" applyBorder="1" applyAlignment="1" applyProtection="1">
      <alignment horizontal="center" vertical="center"/>
      <protection locked="0"/>
    </xf>
    <xf numFmtId="0" fontId="1" fillId="0" borderId="15" xfId="0" applyFont="1" applyBorder="1" applyAlignment="1" applyProtection="1">
      <alignment vertical="center"/>
      <protection locked="0"/>
    </xf>
    <xf numFmtId="0" fontId="1" fillId="0" borderId="15" xfId="0" applyFont="1" applyBorder="1" applyAlignment="1" applyProtection="1">
      <alignment vertical="center" wrapText="1"/>
      <protection locked="0"/>
    </xf>
    <xf numFmtId="0" fontId="1" fillId="10" borderId="44" xfId="0" applyFont="1" applyFill="1" applyBorder="1" applyAlignment="1" applyProtection="1">
      <alignment vertical="center" wrapText="1"/>
      <protection locked="0"/>
    </xf>
    <xf numFmtId="169" fontId="1" fillId="0" borderId="16" xfId="0" applyNumberFormat="1" applyFont="1" applyBorder="1" applyAlignment="1" applyProtection="1">
      <alignment horizontal="center" vertical="center"/>
      <protection locked="0"/>
    </xf>
    <xf numFmtId="0" fontId="1" fillId="10" borderId="17" xfId="0" applyFont="1" applyFill="1" applyBorder="1" applyAlignment="1" applyProtection="1">
      <alignment horizontal="center" vertical="center"/>
      <protection locked="0"/>
    </xf>
    <xf numFmtId="0" fontId="31" fillId="10" borderId="15" xfId="0" applyFont="1" applyFill="1" applyBorder="1" applyAlignment="1" applyProtection="1">
      <alignment horizontal="center" vertical="center"/>
      <protection locked="0"/>
    </xf>
    <xf numFmtId="0" fontId="1" fillId="10" borderId="16" xfId="0" applyFont="1" applyFill="1" applyBorder="1" applyAlignment="1" applyProtection="1">
      <alignment horizontal="center" vertical="center"/>
      <protection locked="0"/>
    </xf>
    <xf numFmtId="0" fontId="1" fillId="0" borderId="17" xfId="0" quotePrefix="1" applyFont="1" applyBorder="1" applyAlignment="1" applyProtection="1">
      <alignment horizontal="center" vertical="center"/>
      <protection locked="0"/>
    </xf>
    <xf numFmtId="0" fontId="1" fillId="10" borderId="15" xfId="0" quotePrefix="1" applyFont="1" applyFill="1" applyBorder="1" applyAlignment="1" applyProtection="1">
      <alignment horizontal="center" vertical="center"/>
      <protection locked="0"/>
    </xf>
    <xf numFmtId="0" fontId="1" fillId="0" borderId="15" xfId="0" applyFont="1" applyBorder="1" applyAlignment="1" applyProtection="1">
      <alignment horizontal="center" vertical="center"/>
      <protection locked="0"/>
    </xf>
    <xf numFmtId="168" fontId="1" fillId="0" borderId="36" xfId="0" applyNumberFormat="1" applyFont="1" applyBorder="1" applyAlignment="1" applyProtection="1">
      <alignment horizontal="center" vertical="center"/>
      <protection locked="0"/>
    </xf>
    <xf numFmtId="1" fontId="1" fillId="10" borderId="36" xfId="0" applyNumberFormat="1" applyFont="1" applyFill="1" applyBorder="1" applyAlignment="1" applyProtection="1">
      <alignment horizontal="center" vertical="center"/>
      <protection locked="0"/>
    </xf>
    <xf numFmtId="49" fontId="1" fillId="0" borderId="15" xfId="0" applyNumberFormat="1" applyFont="1" applyBorder="1" applyAlignment="1" applyProtection="1">
      <alignment horizontal="center" vertical="center"/>
      <protection locked="0"/>
    </xf>
    <xf numFmtId="0" fontId="1" fillId="0" borderId="15" xfId="0" applyFont="1" applyBorder="1" applyAlignment="1" applyProtection="1">
      <alignment horizontal="center" vertical="center" wrapText="1"/>
      <protection locked="0"/>
    </xf>
    <xf numFmtId="0" fontId="1" fillId="0" borderId="16" xfId="0" applyFont="1" applyBorder="1" applyAlignment="1" applyProtection="1">
      <alignment horizontal="center" vertical="center"/>
      <protection locked="0"/>
    </xf>
    <xf numFmtId="0" fontId="1" fillId="10" borderId="14" xfId="0" applyFont="1" applyFill="1" applyBorder="1" applyAlignment="1" applyProtection="1">
      <alignment horizontal="center" vertical="center"/>
      <protection locked="0"/>
    </xf>
    <xf numFmtId="0" fontId="1" fillId="0" borderId="17" xfId="0" applyFont="1" applyBorder="1" applyAlignment="1" applyProtection="1">
      <alignment horizontal="center" vertical="center"/>
      <protection locked="0"/>
    </xf>
    <xf numFmtId="0" fontId="1" fillId="0" borderId="15" xfId="0" quotePrefix="1" applyFont="1" applyBorder="1" applyAlignment="1" applyProtection="1">
      <alignment horizontal="center" vertical="center"/>
      <protection locked="0"/>
    </xf>
    <xf numFmtId="1" fontId="1" fillId="10" borderId="15" xfId="0" applyNumberFormat="1" applyFont="1" applyFill="1" applyBorder="1" applyAlignment="1" applyProtection="1">
      <alignment horizontal="center" vertical="center"/>
      <protection locked="0"/>
    </xf>
    <xf numFmtId="1" fontId="31" fillId="10" borderId="15" xfId="0" applyNumberFormat="1" applyFont="1" applyFill="1" applyBorder="1" applyAlignment="1" applyProtection="1">
      <alignment horizontal="center" vertical="center"/>
      <protection locked="0"/>
    </xf>
    <xf numFmtId="1" fontId="31" fillId="10" borderId="16" xfId="0" applyNumberFormat="1" applyFont="1" applyFill="1" applyBorder="1" applyAlignment="1" applyProtection="1">
      <alignment horizontal="center" vertical="center"/>
      <protection locked="0"/>
    </xf>
    <xf numFmtId="1" fontId="1" fillId="0" borderId="16" xfId="0" applyNumberFormat="1" applyFont="1" applyBorder="1" applyAlignment="1" applyProtection="1">
      <alignment horizontal="center" vertical="center"/>
      <protection locked="0"/>
    </xf>
    <xf numFmtId="0" fontId="1" fillId="10" borderId="61" xfId="0" applyFont="1" applyFill="1" applyBorder="1" applyAlignment="1" applyProtection="1">
      <alignment horizontal="center" vertical="center"/>
      <protection locked="0"/>
    </xf>
    <xf numFmtId="1" fontId="1" fillId="10" borderId="16" xfId="0" applyNumberFormat="1" applyFont="1" applyFill="1" applyBorder="1" applyAlignment="1" applyProtection="1">
      <alignment horizontal="center" vertical="center"/>
      <protection locked="0"/>
    </xf>
    <xf numFmtId="0" fontId="1" fillId="0" borderId="35" xfId="0" applyFont="1" applyBorder="1" applyAlignment="1" applyProtection="1">
      <alignment horizontal="left" vertical="center" wrapText="1"/>
      <protection locked="0"/>
    </xf>
    <xf numFmtId="0" fontId="1" fillId="10" borderId="16" xfId="0" applyFont="1" applyFill="1" applyBorder="1" applyAlignment="1" applyProtection="1">
      <alignment horizontal="left" vertical="center"/>
      <protection locked="0"/>
    </xf>
    <xf numFmtId="14" fontId="1" fillId="10" borderId="15" xfId="0" quotePrefix="1" applyNumberFormat="1" applyFont="1" applyFill="1" applyBorder="1" applyAlignment="1" applyProtection="1">
      <alignment horizontal="center" vertical="center"/>
      <protection locked="0"/>
    </xf>
    <xf numFmtId="1" fontId="7" fillId="10" borderId="16" xfId="0" applyNumberFormat="1" applyFont="1" applyFill="1" applyBorder="1" applyAlignment="1" applyProtection="1">
      <alignment horizontal="center" vertical="center"/>
      <protection locked="0"/>
    </xf>
    <xf numFmtId="173" fontId="1" fillId="10" borderId="17" xfId="0" applyNumberFormat="1" applyFont="1" applyFill="1" applyBorder="1" applyAlignment="1" applyProtection="1">
      <alignment horizontal="center" vertical="center"/>
      <protection locked="0"/>
    </xf>
    <xf numFmtId="173" fontId="1" fillId="10" borderId="15" xfId="0" applyNumberFormat="1" applyFont="1" applyFill="1" applyBorder="1" applyAlignment="1" applyProtection="1">
      <alignment horizontal="center" vertical="center"/>
      <protection locked="0"/>
    </xf>
    <xf numFmtId="173" fontId="1" fillId="10" borderId="16" xfId="0" applyNumberFormat="1" applyFont="1" applyFill="1" applyBorder="1" applyAlignment="1" applyProtection="1">
      <alignment horizontal="center" vertical="center"/>
      <protection locked="0"/>
    </xf>
    <xf numFmtId="0" fontId="1" fillId="10" borderId="44" xfId="0" applyFont="1" applyFill="1" applyBorder="1" applyAlignment="1" applyProtection="1">
      <alignment horizontal="center" vertical="center"/>
      <protection locked="0"/>
    </xf>
    <xf numFmtId="0" fontId="7" fillId="10" borderId="16" xfId="0" applyFont="1" applyFill="1" applyBorder="1" applyAlignment="1" applyProtection="1">
      <alignment horizontal="left" vertical="center"/>
      <protection locked="0"/>
    </xf>
    <xf numFmtId="1" fontId="1" fillId="10" borderId="17" xfId="0" applyNumberFormat="1" applyFont="1" applyFill="1" applyBorder="1" applyAlignment="1" applyProtection="1">
      <alignment horizontal="center" vertical="center"/>
      <protection locked="0"/>
    </xf>
    <xf numFmtId="0" fontId="4" fillId="10" borderId="44" xfId="0" applyFont="1" applyFill="1" applyBorder="1" applyAlignment="1" applyProtection="1">
      <alignment horizontal="center" vertical="center"/>
      <protection locked="0"/>
    </xf>
    <xf numFmtId="1" fontId="7" fillId="10" borderId="16" xfId="0" applyNumberFormat="1" applyFont="1" applyFill="1" applyBorder="1" applyAlignment="1" applyProtection="1">
      <alignment horizontal="left" vertical="center"/>
      <protection locked="0"/>
    </xf>
    <xf numFmtId="0" fontId="7" fillId="10" borderId="16" xfId="0" applyFont="1" applyFill="1" applyBorder="1" applyAlignment="1" applyProtection="1">
      <alignment horizontal="center" vertical="center"/>
      <protection locked="0"/>
    </xf>
    <xf numFmtId="0" fontId="7" fillId="10" borderId="48" xfId="0" applyFont="1" applyFill="1" applyBorder="1" applyAlignment="1" applyProtection="1">
      <alignment horizontal="left" vertical="center"/>
      <protection locked="0"/>
    </xf>
    <xf numFmtId="0" fontId="1" fillId="10" borderId="50" xfId="0" applyFont="1" applyFill="1" applyBorder="1" applyAlignment="1" applyProtection="1">
      <alignment horizontal="center" vertical="center"/>
      <protection locked="0"/>
    </xf>
    <xf numFmtId="0" fontId="1" fillId="10" borderId="58" xfId="0" applyFont="1" applyFill="1" applyBorder="1" applyAlignment="1" applyProtection="1">
      <alignment horizontal="left" vertical="center"/>
      <protection locked="0"/>
    </xf>
    <xf numFmtId="0" fontId="1" fillId="10" borderId="49" xfId="0" applyFont="1" applyFill="1" applyBorder="1" applyAlignment="1" applyProtection="1">
      <alignment horizontal="left" vertical="center"/>
      <protection locked="0"/>
    </xf>
    <xf numFmtId="0" fontId="1" fillId="10" borderId="36" xfId="0" applyFont="1" applyFill="1" applyBorder="1" applyAlignment="1" applyProtection="1">
      <alignment horizontal="center" vertical="center"/>
      <protection locked="0"/>
    </xf>
    <xf numFmtId="0" fontId="1" fillId="10" borderId="48" xfId="0" applyFont="1" applyFill="1" applyBorder="1" applyAlignment="1" applyProtection="1">
      <alignment horizontal="center" vertical="center"/>
      <protection locked="0"/>
    </xf>
    <xf numFmtId="171" fontId="1" fillId="0" borderId="17" xfId="3" applyNumberFormat="1" applyBorder="1" applyAlignment="1" applyProtection="1">
      <alignment horizontal="center" vertical="center"/>
      <protection locked="0"/>
    </xf>
    <xf numFmtId="171" fontId="1" fillId="0" borderId="15" xfId="0" applyNumberFormat="1" applyFont="1" applyBorder="1" applyAlignment="1" applyProtection="1">
      <alignment vertical="center"/>
      <protection locked="0"/>
    </xf>
    <xf numFmtId="171" fontId="1" fillId="0" borderId="16" xfId="0" applyNumberFormat="1" applyFont="1" applyBorder="1" applyAlignment="1" applyProtection="1">
      <alignment horizontal="right" vertical="center"/>
      <protection locked="0"/>
    </xf>
    <xf numFmtId="0" fontId="13" fillId="0" borderId="18" xfId="0" applyFont="1" applyBorder="1" applyProtection="1">
      <protection locked="0"/>
    </xf>
    <xf numFmtId="0" fontId="1" fillId="0" borderId="30" xfId="0" applyFont="1" applyBorder="1" applyAlignment="1" applyProtection="1">
      <alignment horizontal="right"/>
      <protection locked="0"/>
    </xf>
    <xf numFmtId="165" fontId="1" fillId="0" borderId="18" xfId="0" applyNumberFormat="1" applyFont="1" applyBorder="1" applyAlignment="1" applyProtection="1">
      <alignment horizontal="right"/>
      <protection locked="0"/>
    </xf>
    <xf numFmtId="0" fontId="1" fillId="0" borderId="18" xfId="0" applyFont="1" applyBorder="1" applyProtection="1">
      <protection locked="0"/>
    </xf>
    <xf numFmtId="165" fontId="1" fillId="0" borderId="18" xfId="0" applyNumberFormat="1" applyFont="1" applyBorder="1" applyAlignment="1" applyProtection="1">
      <alignment horizontal="center"/>
      <protection locked="0"/>
    </xf>
    <xf numFmtId="166" fontId="1" fillId="0" borderId="18" xfId="0" applyNumberFormat="1" applyFont="1" applyBorder="1" applyAlignment="1" applyProtection="1">
      <alignment horizontal="center"/>
      <protection locked="0"/>
    </xf>
    <xf numFmtId="166" fontId="1" fillId="0" borderId="18" xfId="0" applyNumberFormat="1" applyFont="1" applyBorder="1" applyAlignment="1" applyProtection="1">
      <alignment horizontal="left"/>
      <protection locked="0"/>
    </xf>
    <xf numFmtId="0" fontId="3" fillId="0" borderId="18" xfId="0" applyFont="1" applyBorder="1" applyAlignment="1" applyProtection="1">
      <alignment horizontal="left"/>
      <protection locked="0"/>
    </xf>
    <xf numFmtId="0" fontId="1" fillId="0" borderId="18" xfId="0" applyFont="1" applyBorder="1" applyAlignment="1" applyProtection="1">
      <alignment horizontal="left"/>
      <protection locked="0"/>
    </xf>
    <xf numFmtId="0" fontId="1" fillId="10" borderId="18" xfId="0" applyFont="1" applyFill="1" applyBorder="1" applyAlignment="1" applyProtection="1">
      <alignment horizontal="center"/>
      <protection locked="0"/>
    </xf>
    <xf numFmtId="0" fontId="1" fillId="0" borderId="18" xfId="0" applyFont="1" applyBorder="1" applyAlignment="1" applyProtection="1">
      <alignment wrapText="1"/>
      <protection locked="0"/>
    </xf>
    <xf numFmtId="0" fontId="1" fillId="10" borderId="18" xfId="0" applyFont="1" applyFill="1" applyBorder="1" applyAlignment="1" applyProtection="1">
      <alignment wrapText="1"/>
      <protection locked="0"/>
    </xf>
    <xf numFmtId="169" fontId="1" fillId="0" borderId="18" xfId="0" applyNumberFormat="1" applyFont="1" applyBorder="1" applyProtection="1">
      <protection locked="0"/>
    </xf>
    <xf numFmtId="0" fontId="1" fillId="10" borderId="18" xfId="0" applyFont="1" applyFill="1" applyBorder="1" applyProtection="1">
      <protection locked="0"/>
    </xf>
    <xf numFmtId="0" fontId="31" fillId="10" borderId="18" xfId="0" applyFont="1" applyFill="1" applyBorder="1" applyProtection="1">
      <protection locked="0"/>
    </xf>
    <xf numFmtId="0" fontId="1" fillId="0" borderId="18" xfId="0" applyFont="1" applyBorder="1" applyAlignment="1" applyProtection="1">
      <alignment horizontal="center"/>
      <protection locked="0"/>
    </xf>
    <xf numFmtId="49" fontId="1" fillId="0" borderId="18" xfId="0" applyNumberFormat="1" applyFont="1" applyBorder="1" applyProtection="1">
      <protection locked="0"/>
    </xf>
    <xf numFmtId="0" fontId="1" fillId="0" borderId="18" xfId="0" applyFont="1" applyBorder="1" applyAlignment="1" applyProtection="1">
      <alignment horizontal="center" wrapText="1"/>
      <protection locked="0"/>
    </xf>
    <xf numFmtId="0" fontId="3" fillId="10" borderId="18" xfId="0" applyFont="1" applyFill="1" applyBorder="1" applyAlignment="1" applyProtection="1">
      <alignment horizontal="left" vertical="center" wrapText="1"/>
      <protection locked="0"/>
    </xf>
    <xf numFmtId="0" fontId="31" fillId="10" borderId="18" xfId="0" applyFont="1" applyFill="1" applyBorder="1" applyAlignment="1" applyProtection="1">
      <alignment horizontal="center"/>
      <protection locked="0"/>
    </xf>
    <xf numFmtId="0" fontId="1" fillId="10" borderId="19" xfId="0" applyFont="1" applyFill="1" applyBorder="1" applyProtection="1">
      <protection locked="0"/>
    </xf>
    <xf numFmtId="0" fontId="7" fillId="10" borderId="18" xfId="0" applyFont="1" applyFill="1" applyBorder="1" applyProtection="1">
      <protection locked="0"/>
    </xf>
    <xf numFmtId="170" fontId="1" fillId="10" borderId="18" xfId="0" applyNumberFormat="1" applyFont="1" applyFill="1" applyBorder="1" applyProtection="1">
      <protection locked="0"/>
    </xf>
    <xf numFmtId="0" fontId="1" fillId="10" borderId="20" xfId="0" applyFont="1" applyFill="1" applyBorder="1" applyProtection="1">
      <protection locked="0"/>
    </xf>
    <xf numFmtId="171" fontId="1" fillId="0" borderId="18" xfId="0" applyNumberFormat="1" applyFont="1" applyBorder="1" applyProtection="1">
      <protection locked="0"/>
    </xf>
    <xf numFmtId="171" fontId="1" fillId="0" borderId="18" xfId="0" applyNumberFormat="1" applyFont="1" applyBorder="1" applyAlignment="1" applyProtection="1">
      <alignment horizontal="right"/>
      <protection locked="0"/>
    </xf>
    <xf numFmtId="0" fontId="13" fillId="0" borderId="0" xfId="0" applyFont="1" applyProtection="1">
      <protection locked="0"/>
    </xf>
    <xf numFmtId="165" fontId="1" fillId="0" borderId="0" xfId="0" applyNumberFormat="1" applyFont="1" applyAlignment="1" applyProtection="1">
      <alignment horizontal="right"/>
      <protection locked="0"/>
    </xf>
    <xf numFmtId="165" fontId="1" fillId="0" borderId="0" xfId="0" applyNumberFormat="1" applyFont="1" applyAlignment="1" applyProtection="1">
      <alignment horizontal="center"/>
      <protection locked="0"/>
    </xf>
    <xf numFmtId="166" fontId="1" fillId="0" borderId="0" xfId="0" applyNumberFormat="1" applyFont="1" applyAlignment="1" applyProtection="1">
      <alignment horizontal="center"/>
      <protection locked="0"/>
    </xf>
    <xf numFmtId="166" fontId="1" fillId="0" borderId="0" xfId="0" applyNumberFormat="1" applyFont="1" applyAlignment="1" applyProtection="1">
      <alignment horizontal="left"/>
      <protection locked="0"/>
    </xf>
    <xf numFmtId="0" fontId="3" fillId="0" borderId="0" xfId="0" applyFont="1" applyAlignment="1" applyProtection="1">
      <alignment horizontal="left"/>
      <protection locked="0"/>
    </xf>
    <xf numFmtId="0" fontId="1" fillId="0" borderId="0" xfId="0" applyFont="1" applyAlignment="1" applyProtection="1">
      <alignment horizontal="left"/>
      <protection locked="0"/>
    </xf>
    <xf numFmtId="0" fontId="1" fillId="0" borderId="0" xfId="0" applyFont="1" applyAlignment="1" applyProtection="1">
      <alignment wrapText="1"/>
      <protection locked="0"/>
    </xf>
    <xf numFmtId="169" fontId="1" fillId="0" borderId="0" xfId="0" applyNumberFormat="1" applyFont="1" applyProtection="1">
      <protection locked="0"/>
    </xf>
    <xf numFmtId="0" fontId="1" fillId="0" borderId="0" xfId="0" applyFont="1" applyAlignment="1" applyProtection="1">
      <alignment horizontal="center"/>
      <protection locked="0"/>
    </xf>
    <xf numFmtId="49" fontId="1" fillId="0" borderId="0" xfId="0" applyNumberFormat="1" applyFont="1" applyProtection="1">
      <protection locked="0"/>
    </xf>
    <xf numFmtId="171" fontId="1" fillId="0" borderId="0" xfId="0" applyNumberFormat="1" applyFont="1" applyAlignment="1" applyProtection="1">
      <alignment horizontal="right"/>
      <protection locked="0"/>
    </xf>
    <xf numFmtId="0" fontId="1" fillId="10" borderId="17" xfId="0" applyFont="1" applyFill="1" applyBorder="1" applyAlignment="1" applyProtection="1">
      <alignment horizontal="center" textRotation="90"/>
      <protection locked="0"/>
    </xf>
    <xf numFmtId="0" fontId="1" fillId="10" borderId="40" xfId="0" applyFont="1" applyFill="1" applyBorder="1" applyAlignment="1" applyProtection="1">
      <alignment horizontal="center" textRotation="90"/>
      <protection locked="0"/>
    </xf>
    <xf numFmtId="0" fontId="1" fillId="10" borderId="6" xfId="0" applyFont="1" applyFill="1" applyBorder="1" applyAlignment="1" applyProtection="1">
      <alignment horizontal="center" textRotation="90"/>
      <protection locked="0"/>
    </xf>
    <xf numFmtId="0" fontId="1" fillId="10" borderId="39" xfId="0" applyFont="1" applyFill="1" applyBorder="1" applyAlignment="1" applyProtection="1">
      <alignment horizontal="center" textRotation="90"/>
      <protection locked="0"/>
    </xf>
    <xf numFmtId="0" fontId="1" fillId="10" borderId="3" xfId="0" applyFont="1" applyFill="1" applyBorder="1" applyAlignment="1" applyProtection="1">
      <alignment horizontal="center" textRotation="90"/>
      <protection locked="0"/>
    </xf>
    <xf numFmtId="0" fontId="1" fillId="10" borderId="16" xfId="0" applyFont="1" applyFill="1" applyBorder="1" applyAlignment="1" applyProtection="1">
      <alignment horizontal="center" textRotation="90"/>
      <protection locked="0"/>
    </xf>
    <xf numFmtId="0" fontId="1" fillId="10" borderId="41" xfId="0" applyFont="1" applyFill="1" applyBorder="1" applyAlignment="1" applyProtection="1">
      <alignment horizontal="center" textRotation="90"/>
      <protection locked="0"/>
    </xf>
    <xf numFmtId="0" fontId="1" fillId="10" borderId="4" xfId="0" applyFont="1" applyFill="1" applyBorder="1" applyAlignment="1" applyProtection="1">
      <alignment horizontal="center" textRotation="90"/>
      <protection locked="0"/>
    </xf>
    <xf numFmtId="0" fontId="1" fillId="10" borderId="15" xfId="0" applyFont="1" applyFill="1" applyBorder="1" applyAlignment="1" applyProtection="1">
      <alignment horizontal="center" textRotation="90"/>
      <protection locked="0"/>
    </xf>
    <xf numFmtId="14" fontId="14" fillId="0" borderId="0" xfId="0" applyNumberFormat="1" applyFont="1" applyAlignment="1">
      <alignment horizontal="left" vertical="center"/>
    </xf>
    <xf numFmtId="0" fontId="0" fillId="0" borderId="0" xfId="0"/>
    <xf numFmtId="0" fontId="12" fillId="0" borderId="2" xfId="0" applyFont="1" applyBorder="1" applyAlignment="1">
      <alignment horizontal="center"/>
    </xf>
    <xf numFmtId="0" fontId="8" fillId="0" borderId="0" xfId="0" applyFont="1" applyAlignment="1">
      <alignment horizontal="left" vertical="center"/>
    </xf>
    <xf numFmtId="0" fontId="17" fillId="0" borderId="0" xfId="0" applyFont="1" applyAlignment="1">
      <alignment horizontal="left" vertical="center"/>
    </xf>
    <xf numFmtId="174" fontId="3" fillId="0" borderId="0" xfId="0" applyNumberFormat="1" applyFont="1" applyAlignment="1">
      <alignment horizontal="left"/>
    </xf>
    <xf numFmtId="0" fontId="0" fillId="0" borderId="0" xfId="0" applyAlignment="1">
      <alignment horizontal="left"/>
    </xf>
  </cellXfs>
  <cellStyles count="4">
    <cellStyle name="Comma [0]" xfId="2" builtinId="6"/>
    <cellStyle name="Normal" xfId="0" builtinId="0"/>
    <cellStyle name="Normal_H 434 25" xfId="3" xr:uid="{7CA972FA-983C-4D35-8A1A-42C79ED226F9}"/>
    <cellStyle name="Per cent" xfId="1"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19"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51</xdr:col>
      <xdr:colOff>0</xdr:colOff>
      <xdr:row>6</xdr:row>
      <xdr:rowOff>1647825</xdr:rowOff>
    </xdr:from>
    <xdr:to>
      <xdr:col>51</xdr:col>
      <xdr:colOff>0</xdr:colOff>
      <xdr:row>6</xdr:row>
      <xdr:rowOff>1733550</xdr:rowOff>
    </xdr:to>
    <xdr:sp macro="" textlink="">
      <xdr:nvSpPr>
        <xdr:cNvPr id="8345" name="Line 1">
          <a:extLst>
            <a:ext uri="{FF2B5EF4-FFF2-40B4-BE49-F238E27FC236}">
              <a16:creationId xmlns:a16="http://schemas.microsoft.com/office/drawing/2014/main" id="{00000000-0008-0000-0000-000099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1657350</xdr:rowOff>
    </xdr:from>
    <xdr:to>
      <xdr:col>51</xdr:col>
      <xdr:colOff>0</xdr:colOff>
      <xdr:row>6</xdr:row>
      <xdr:rowOff>1695450</xdr:rowOff>
    </xdr:to>
    <xdr:sp macro="" textlink="">
      <xdr:nvSpPr>
        <xdr:cNvPr id="8346" name="Line 2">
          <a:extLst>
            <a:ext uri="{FF2B5EF4-FFF2-40B4-BE49-F238E27FC236}">
              <a16:creationId xmlns:a16="http://schemas.microsoft.com/office/drawing/2014/main" id="{00000000-0008-0000-0000-00009A200000}"/>
            </a:ext>
          </a:extLst>
        </xdr:cNvPr>
        <xdr:cNvSpPr>
          <a:spLocks noChangeShapeType="1"/>
        </xdr:cNvSpPr>
      </xdr:nvSpPr>
      <xdr:spPr bwMode="auto">
        <a:xfrm flipH="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1695450</xdr:rowOff>
    </xdr:from>
    <xdr:to>
      <xdr:col>51</xdr:col>
      <xdr:colOff>0</xdr:colOff>
      <xdr:row>6</xdr:row>
      <xdr:rowOff>1724025</xdr:rowOff>
    </xdr:to>
    <xdr:sp macro="" textlink="">
      <xdr:nvSpPr>
        <xdr:cNvPr id="8347" name="Line 3">
          <a:extLst>
            <a:ext uri="{FF2B5EF4-FFF2-40B4-BE49-F238E27FC236}">
              <a16:creationId xmlns:a16="http://schemas.microsoft.com/office/drawing/2014/main" id="{00000000-0008-0000-0000-00009B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123825</xdr:rowOff>
    </xdr:from>
    <xdr:to>
      <xdr:col>51</xdr:col>
      <xdr:colOff>0</xdr:colOff>
      <xdr:row>7</xdr:row>
      <xdr:rowOff>123825</xdr:rowOff>
    </xdr:to>
    <xdr:sp macro="" textlink="">
      <xdr:nvSpPr>
        <xdr:cNvPr id="8348" name="Line 4">
          <a:extLst>
            <a:ext uri="{FF2B5EF4-FFF2-40B4-BE49-F238E27FC236}">
              <a16:creationId xmlns:a16="http://schemas.microsoft.com/office/drawing/2014/main" id="{00000000-0008-0000-0000-00009C200000}"/>
            </a:ext>
          </a:extLst>
        </xdr:cNvPr>
        <xdr:cNvSpPr>
          <a:spLocks noChangeShapeType="1"/>
        </xdr:cNvSpPr>
      </xdr:nvSpPr>
      <xdr:spPr bwMode="auto">
        <a:xfrm>
          <a:off x="15982950" y="36004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49" name="Line 5">
          <a:extLst>
            <a:ext uri="{FF2B5EF4-FFF2-40B4-BE49-F238E27FC236}">
              <a16:creationId xmlns:a16="http://schemas.microsoft.com/office/drawing/2014/main" id="{00000000-0008-0000-0000-00009D200000}"/>
            </a:ext>
          </a:extLst>
        </xdr:cNvPr>
        <xdr:cNvSpPr>
          <a:spLocks noChangeShapeType="1"/>
        </xdr:cNvSpPr>
      </xdr:nvSpPr>
      <xdr:spPr bwMode="auto">
        <a:xfrm flipV="1">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50" name="Line 6">
          <a:extLst>
            <a:ext uri="{FF2B5EF4-FFF2-40B4-BE49-F238E27FC236}">
              <a16:creationId xmlns:a16="http://schemas.microsoft.com/office/drawing/2014/main" id="{00000000-0008-0000-0000-00009E200000}"/>
            </a:ext>
          </a:extLst>
        </xdr:cNvPr>
        <xdr:cNvSpPr>
          <a:spLocks noChangeShapeType="1"/>
        </xdr:cNvSpPr>
      </xdr:nvSpPr>
      <xdr:spPr bwMode="auto">
        <a:xfrm>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8</xdr:col>
          <xdr:colOff>295275</xdr:colOff>
          <xdr:row>0</xdr:row>
          <xdr:rowOff>28575</xdr:rowOff>
        </xdr:from>
        <xdr:to>
          <xdr:col>11</xdr:col>
          <xdr:colOff>885825</xdr:colOff>
          <xdr:row>0</xdr:row>
          <xdr:rowOff>323850</xdr:rowOff>
        </xdr:to>
        <xdr:sp macro="" textlink="">
          <xdr:nvSpPr>
            <xdr:cNvPr id="5156" name="Button 2084"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AVANSERT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3</xdr:row>
          <xdr:rowOff>9525</xdr:rowOff>
        </xdr:from>
        <xdr:to>
          <xdr:col>80</xdr:col>
          <xdr:colOff>1600200</xdr:colOff>
          <xdr:row>4</xdr:row>
          <xdr:rowOff>104775</xdr:rowOff>
        </xdr:to>
        <xdr:sp macro="" textlink="">
          <xdr:nvSpPr>
            <xdr:cNvPr id="6741" name="Button 3669" hidden="1">
              <a:extLst>
                <a:ext uri="{63B3BB69-23CF-44E3-9099-C40C66FF867C}">
                  <a14:compatExt spid="_x0000_s6741"/>
                </a:ext>
                <a:ext uri="{FF2B5EF4-FFF2-40B4-BE49-F238E27FC236}">
                  <a16:creationId xmlns:a16="http://schemas.microsoft.com/office/drawing/2014/main" id="{00000000-0008-0000-0000-000055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digitale pkt.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4</xdr:row>
          <xdr:rowOff>114300</xdr:rowOff>
        </xdr:from>
        <xdr:to>
          <xdr:col>80</xdr:col>
          <xdr:colOff>1600200</xdr:colOff>
          <xdr:row>6</xdr:row>
          <xdr:rowOff>0</xdr:rowOff>
        </xdr:to>
        <xdr:sp macro="" textlink="">
          <xdr:nvSpPr>
            <xdr:cNvPr id="6742" name="Button 3670" hidden="1">
              <a:extLst>
                <a:ext uri="{63B3BB69-23CF-44E3-9099-C40C66FF867C}">
                  <a14:compatExt spid="_x0000_s6742"/>
                </a:ext>
                <a:ext uri="{FF2B5EF4-FFF2-40B4-BE49-F238E27FC236}">
                  <a16:creationId xmlns:a16="http://schemas.microsoft.com/office/drawing/2014/main" id="{00000000-0008-0000-0000-000056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analoge pkt.</a:t>
              </a:r>
            </a:p>
          </xdr:txBody>
        </xdr:sp>
        <xdr:clientData fPrintsWithSheet="0"/>
      </xdr:twoCellAnchor>
    </mc:Choice>
    <mc:Fallback/>
  </mc:AlternateContent>
  <xdr:twoCellAnchor>
    <xdr:from>
      <xdr:col>11</xdr:col>
      <xdr:colOff>219075</xdr:colOff>
      <xdr:row>1</xdr:row>
      <xdr:rowOff>0</xdr:rowOff>
    </xdr:from>
    <xdr:to>
      <xdr:col>11</xdr:col>
      <xdr:colOff>1162050</xdr:colOff>
      <xdr:row>2</xdr:row>
      <xdr:rowOff>28575</xdr:rowOff>
    </xdr:to>
    <xdr:pic>
      <xdr:nvPicPr>
        <xdr:cNvPr id="8351" name="Picture 5219">
          <a:extLst>
            <a:ext uri="{FF2B5EF4-FFF2-40B4-BE49-F238E27FC236}">
              <a16:creationId xmlns:a16="http://schemas.microsoft.com/office/drawing/2014/main" id="{00000000-0008-0000-0000-00009F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0325" y="657225"/>
          <a:ext cx="94297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38100</xdr:colOff>
          <xdr:row>0</xdr:row>
          <xdr:rowOff>28575</xdr:rowOff>
        </xdr:from>
        <xdr:to>
          <xdr:col>8</xdr:col>
          <xdr:colOff>295275</xdr:colOff>
          <xdr:row>0</xdr:row>
          <xdr:rowOff>323850</xdr:rowOff>
        </xdr:to>
        <xdr:sp macro="" textlink="">
          <xdr:nvSpPr>
            <xdr:cNvPr id="8296" name="Button 5224" hidden="1">
              <a:extLst>
                <a:ext uri="{63B3BB69-23CF-44E3-9099-C40C66FF867C}">
                  <a14:compatExt spid="_x0000_s8296"/>
                </a:ext>
                <a:ext uri="{FF2B5EF4-FFF2-40B4-BE49-F238E27FC236}">
                  <a16:creationId xmlns:a16="http://schemas.microsoft.com/office/drawing/2014/main" id="{00000000-0008-0000-0000-000068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ENKEL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1</xdr:row>
          <xdr:rowOff>647700</xdr:rowOff>
        </xdr:from>
        <xdr:to>
          <xdr:col>8</xdr:col>
          <xdr:colOff>314325</xdr:colOff>
          <xdr:row>3</xdr:row>
          <xdr:rowOff>85725</xdr:rowOff>
        </xdr:to>
        <xdr:sp macro="" textlink="">
          <xdr:nvSpPr>
            <xdr:cNvPr id="8459" name="Button 5387" hidden="1">
              <a:extLst>
                <a:ext uri="{63B3BB69-23CF-44E3-9099-C40C66FF867C}">
                  <a14:compatExt spid="_x0000_s8459"/>
                </a:ext>
                <a:ext uri="{FF2B5EF4-FFF2-40B4-BE49-F238E27FC236}">
                  <a16:creationId xmlns:a16="http://schemas.microsoft.com/office/drawing/2014/main" id="{00000000-0008-0000-0000-00000B2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Create FDV</a:t>
              </a:r>
            </a:p>
          </xdr:txBody>
        </xdr:sp>
        <xdr:clientData fPrintsWithSheet="0"/>
      </xdr:twoCellAnchor>
    </mc:Choice>
    <mc:Fallback/>
  </mc:AlternateContent>
  <xdr:twoCellAnchor>
    <xdr:from>
      <xdr:col>51</xdr:col>
      <xdr:colOff>0</xdr:colOff>
      <xdr:row>6</xdr:row>
      <xdr:rowOff>1647825</xdr:rowOff>
    </xdr:from>
    <xdr:to>
      <xdr:col>51</xdr:col>
      <xdr:colOff>0</xdr:colOff>
      <xdr:row>6</xdr:row>
      <xdr:rowOff>1733550</xdr:rowOff>
    </xdr:to>
    <xdr:sp macro="" textlink="">
      <xdr:nvSpPr>
        <xdr:cNvPr id="2" name="Line 1">
          <a:extLst>
            <a:ext uri="{FF2B5EF4-FFF2-40B4-BE49-F238E27FC236}">
              <a16:creationId xmlns:a16="http://schemas.microsoft.com/office/drawing/2014/main" id="{C8E6E4C3-3B1A-47BC-8245-BCCF01C93476}"/>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1657350</xdr:rowOff>
    </xdr:from>
    <xdr:to>
      <xdr:col>51</xdr:col>
      <xdr:colOff>0</xdr:colOff>
      <xdr:row>6</xdr:row>
      <xdr:rowOff>1695450</xdr:rowOff>
    </xdr:to>
    <xdr:sp macro="" textlink="">
      <xdr:nvSpPr>
        <xdr:cNvPr id="3" name="Line 2">
          <a:extLst>
            <a:ext uri="{FF2B5EF4-FFF2-40B4-BE49-F238E27FC236}">
              <a16:creationId xmlns:a16="http://schemas.microsoft.com/office/drawing/2014/main" id="{7A0C3F45-BD47-435F-B00D-B11D97F4941D}"/>
            </a:ext>
          </a:extLst>
        </xdr:cNvPr>
        <xdr:cNvSpPr>
          <a:spLocks noChangeShapeType="1"/>
        </xdr:cNvSpPr>
      </xdr:nvSpPr>
      <xdr:spPr bwMode="auto">
        <a:xfrm flipH="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1695450</xdr:rowOff>
    </xdr:from>
    <xdr:to>
      <xdr:col>51</xdr:col>
      <xdr:colOff>0</xdr:colOff>
      <xdr:row>6</xdr:row>
      <xdr:rowOff>1724025</xdr:rowOff>
    </xdr:to>
    <xdr:sp macro="" textlink="">
      <xdr:nvSpPr>
        <xdr:cNvPr id="4" name="Line 3">
          <a:extLst>
            <a:ext uri="{FF2B5EF4-FFF2-40B4-BE49-F238E27FC236}">
              <a16:creationId xmlns:a16="http://schemas.microsoft.com/office/drawing/2014/main" id="{D0D7F52F-9BC9-43B2-94AE-2C762A1799B9}"/>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123825</xdr:rowOff>
    </xdr:from>
    <xdr:to>
      <xdr:col>51</xdr:col>
      <xdr:colOff>0</xdr:colOff>
      <xdr:row>7</xdr:row>
      <xdr:rowOff>123825</xdr:rowOff>
    </xdr:to>
    <xdr:sp macro="" textlink="">
      <xdr:nvSpPr>
        <xdr:cNvPr id="5" name="Line 4">
          <a:extLst>
            <a:ext uri="{FF2B5EF4-FFF2-40B4-BE49-F238E27FC236}">
              <a16:creationId xmlns:a16="http://schemas.microsoft.com/office/drawing/2014/main" id="{96854C3F-973E-4D6D-8EDA-E638CED1F9AF}"/>
            </a:ext>
          </a:extLst>
        </xdr:cNvPr>
        <xdr:cNvSpPr>
          <a:spLocks noChangeShapeType="1"/>
        </xdr:cNvSpPr>
      </xdr:nvSpPr>
      <xdr:spPr bwMode="auto">
        <a:xfrm>
          <a:off x="15982950" y="36004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6" name="Line 5">
          <a:extLst>
            <a:ext uri="{FF2B5EF4-FFF2-40B4-BE49-F238E27FC236}">
              <a16:creationId xmlns:a16="http://schemas.microsoft.com/office/drawing/2014/main" id="{0DDDC091-3A94-4F48-BFB2-89D3CD19FA7C}"/>
            </a:ext>
          </a:extLst>
        </xdr:cNvPr>
        <xdr:cNvSpPr>
          <a:spLocks noChangeShapeType="1"/>
        </xdr:cNvSpPr>
      </xdr:nvSpPr>
      <xdr:spPr bwMode="auto">
        <a:xfrm flipV="1">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7" name="Line 6">
          <a:extLst>
            <a:ext uri="{FF2B5EF4-FFF2-40B4-BE49-F238E27FC236}">
              <a16:creationId xmlns:a16="http://schemas.microsoft.com/office/drawing/2014/main" id="{368B340C-63C0-45CC-9A3E-57551E7B6B3F}"/>
            </a:ext>
          </a:extLst>
        </xdr:cNvPr>
        <xdr:cNvSpPr>
          <a:spLocks noChangeShapeType="1"/>
        </xdr:cNvSpPr>
      </xdr:nvSpPr>
      <xdr:spPr bwMode="auto">
        <a:xfrm>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8</xdr:col>
          <xdr:colOff>295275</xdr:colOff>
          <xdr:row>0</xdr:row>
          <xdr:rowOff>28575</xdr:rowOff>
        </xdr:from>
        <xdr:to>
          <xdr:col>11</xdr:col>
          <xdr:colOff>885825</xdr:colOff>
          <xdr:row>0</xdr:row>
          <xdr:rowOff>323850</xdr:rowOff>
        </xdr:to>
        <xdr:sp macro="" textlink="">
          <xdr:nvSpPr>
            <xdr:cNvPr id="8482" name="Button 5410" hidden="1">
              <a:extLst>
                <a:ext uri="{63B3BB69-23CF-44E3-9099-C40C66FF867C}">
                  <a14:compatExt spid="_x0000_s8482"/>
                </a:ext>
                <a:ext uri="{FF2B5EF4-FFF2-40B4-BE49-F238E27FC236}">
                  <a16:creationId xmlns:a16="http://schemas.microsoft.com/office/drawing/2014/main" id="{00000000-0008-0000-0000-0000222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AVANSERT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3</xdr:row>
          <xdr:rowOff>9525</xdr:rowOff>
        </xdr:from>
        <xdr:to>
          <xdr:col>80</xdr:col>
          <xdr:colOff>1600200</xdr:colOff>
          <xdr:row>4</xdr:row>
          <xdr:rowOff>104775</xdr:rowOff>
        </xdr:to>
        <xdr:sp macro="" textlink="">
          <xdr:nvSpPr>
            <xdr:cNvPr id="8483" name="Button 5411" hidden="1">
              <a:extLst>
                <a:ext uri="{63B3BB69-23CF-44E3-9099-C40C66FF867C}">
                  <a14:compatExt spid="_x0000_s8483"/>
                </a:ext>
                <a:ext uri="{FF2B5EF4-FFF2-40B4-BE49-F238E27FC236}">
                  <a16:creationId xmlns:a16="http://schemas.microsoft.com/office/drawing/2014/main" id="{00000000-0008-0000-0000-0000232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digitale pkt.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4</xdr:row>
          <xdr:rowOff>114300</xdr:rowOff>
        </xdr:from>
        <xdr:to>
          <xdr:col>80</xdr:col>
          <xdr:colOff>1600200</xdr:colOff>
          <xdr:row>6</xdr:row>
          <xdr:rowOff>0</xdr:rowOff>
        </xdr:to>
        <xdr:sp macro="" textlink="">
          <xdr:nvSpPr>
            <xdr:cNvPr id="8484" name="Button 5412" hidden="1">
              <a:extLst>
                <a:ext uri="{63B3BB69-23CF-44E3-9099-C40C66FF867C}">
                  <a14:compatExt spid="_x0000_s8484"/>
                </a:ext>
                <a:ext uri="{FF2B5EF4-FFF2-40B4-BE49-F238E27FC236}">
                  <a16:creationId xmlns:a16="http://schemas.microsoft.com/office/drawing/2014/main" id="{00000000-0008-0000-0000-0000242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analoge pkt.</a:t>
              </a:r>
            </a:p>
          </xdr:txBody>
        </xdr:sp>
        <xdr:clientData fPrintsWithSheet="0"/>
      </xdr:twoCellAnchor>
    </mc:Choice>
    <mc:Fallback/>
  </mc:AlternateContent>
  <xdr:twoCellAnchor>
    <xdr:from>
      <xdr:col>11</xdr:col>
      <xdr:colOff>219075</xdr:colOff>
      <xdr:row>1</xdr:row>
      <xdr:rowOff>0</xdr:rowOff>
    </xdr:from>
    <xdr:to>
      <xdr:col>11</xdr:col>
      <xdr:colOff>1162050</xdr:colOff>
      <xdr:row>2</xdr:row>
      <xdr:rowOff>28575</xdr:rowOff>
    </xdr:to>
    <xdr:pic>
      <xdr:nvPicPr>
        <xdr:cNvPr id="8" name="Picture 5219">
          <a:extLst>
            <a:ext uri="{FF2B5EF4-FFF2-40B4-BE49-F238E27FC236}">
              <a16:creationId xmlns:a16="http://schemas.microsoft.com/office/drawing/2014/main" id="{F3A881B5-A4BA-4890-B3A9-37FBF82B42C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600325" y="657225"/>
          <a:ext cx="94297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38100</xdr:colOff>
          <xdr:row>0</xdr:row>
          <xdr:rowOff>28575</xdr:rowOff>
        </xdr:from>
        <xdr:to>
          <xdr:col>8</xdr:col>
          <xdr:colOff>295275</xdr:colOff>
          <xdr:row>0</xdr:row>
          <xdr:rowOff>323850</xdr:rowOff>
        </xdr:to>
        <xdr:sp macro="" textlink="">
          <xdr:nvSpPr>
            <xdr:cNvPr id="8485" name="Button 5413" hidden="1">
              <a:extLst>
                <a:ext uri="{63B3BB69-23CF-44E3-9099-C40C66FF867C}">
                  <a14:compatExt spid="_x0000_s8485"/>
                </a:ext>
                <a:ext uri="{FF2B5EF4-FFF2-40B4-BE49-F238E27FC236}">
                  <a16:creationId xmlns:a16="http://schemas.microsoft.com/office/drawing/2014/main" id="{00000000-0008-0000-0000-0000252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ENKEL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2905125</xdr:colOff>
      <xdr:row>0</xdr:row>
      <xdr:rowOff>28575</xdr:rowOff>
    </xdr:from>
    <xdr:to>
      <xdr:col>3</xdr:col>
      <xdr:colOff>3514725</xdr:colOff>
      <xdr:row>0</xdr:row>
      <xdr:rowOff>638175</xdr:rowOff>
    </xdr:to>
    <xdr:pic>
      <xdr:nvPicPr>
        <xdr:cNvPr id="9226" name="Picture 3" descr="GK_logo_PNG">
          <a:extLst>
            <a:ext uri="{FF2B5EF4-FFF2-40B4-BE49-F238E27FC236}">
              <a16:creationId xmlns:a16="http://schemas.microsoft.com/office/drawing/2014/main" id="{00000000-0008-0000-0100-00000A2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19625"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476250</xdr:colOff>
      <xdr:row>0</xdr:row>
      <xdr:rowOff>28575</xdr:rowOff>
    </xdr:from>
    <xdr:to>
      <xdr:col>3</xdr:col>
      <xdr:colOff>1085850</xdr:colOff>
      <xdr:row>0</xdr:row>
      <xdr:rowOff>638175</xdr:rowOff>
    </xdr:to>
    <xdr:pic>
      <xdr:nvPicPr>
        <xdr:cNvPr id="10250" name="Picture 3" descr="GK_logo_PNG">
          <a:extLst>
            <a:ext uri="{FF2B5EF4-FFF2-40B4-BE49-F238E27FC236}">
              <a16:creationId xmlns:a16="http://schemas.microsoft.com/office/drawing/2014/main" id="{00000000-0008-0000-0200-00000A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14800"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552450</xdr:colOff>
      <xdr:row>0</xdr:row>
      <xdr:rowOff>38100</xdr:rowOff>
    </xdr:from>
    <xdr:to>
      <xdr:col>7</xdr:col>
      <xdr:colOff>695325</xdr:colOff>
      <xdr:row>4</xdr:row>
      <xdr:rowOff>114300</xdr:rowOff>
    </xdr:to>
    <xdr:pic>
      <xdr:nvPicPr>
        <xdr:cNvPr id="11272" name="Picture 1" descr="GK_logo_2005">
          <a:extLst>
            <a:ext uri="{FF2B5EF4-FFF2-40B4-BE49-F238E27FC236}">
              <a16:creationId xmlns:a16="http://schemas.microsoft.com/office/drawing/2014/main" id="{00000000-0008-0000-0600-0000082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53025" y="38100"/>
          <a:ext cx="904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gknett.sharepoint.com/sites/kvalsys/norge/KvalSys%20Dokumenter/48-571%20Teknisk%20database%20(TdB).xls" TargetMode="External"/><Relationship Id="rId1" Type="http://schemas.openxmlformats.org/officeDocument/2006/relationships/externalLinkPath" Target="https://gknett.sharepoint.com/sites/kvalsys/norge/KvalSys%20Dokumenter/48-571%20Teknisk%20database%20(TdB).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base"/>
      <sheetName val="Revisjonsoversikt"/>
      <sheetName val="Framdriftsrapport"/>
      <sheetName val="Fargekoder"/>
      <sheetName val="Hjelp"/>
      <sheetName val="Mall Logo"/>
    </sheetNames>
    <definedNames>
      <definedName name="QB_exp_analog"/>
      <definedName name="QB_exp_digital"/>
      <definedName name="Vis_Vis_Avansert"/>
      <definedName name="Vis_Vis_Enkel"/>
    </definedNames>
    <sheetDataSet>
      <sheetData sheetId="0" refreshError="1"/>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D101"/>
  <sheetViews>
    <sheetView showGridLines="0" tabSelected="1" zoomScale="145" zoomScaleNormal="145" zoomScaleSheetLayoutView="75" workbookViewId="0">
      <pane xSplit="12" ySplit="10" topLeftCell="M11" activePane="bottomRight" state="frozen"/>
      <selection pane="topRight" activeCell="M1" sqref="M1"/>
      <selection pane="bottomLeft" activeCell="A10" sqref="A10"/>
      <selection pane="bottomRight" activeCell="AO17" sqref="AO17"/>
    </sheetView>
  </sheetViews>
  <sheetFormatPr defaultColWidth="15.7109375" defaultRowHeight="20.100000000000001" customHeight="1" outlineLevelCol="1" x14ac:dyDescent="0.2"/>
  <cols>
    <col min="1" max="1" width="5.85546875" style="733" hidden="1" customWidth="1"/>
    <col min="2" max="2" width="1.85546875" style="465" customWidth="1"/>
    <col min="3" max="3" width="5.28515625" style="734" bestFit="1" customWidth="1"/>
    <col min="4" max="4" width="1.7109375" style="390" customWidth="1"/>
    <col min="5" max="5" width="4.7109375" style="734" customWidth="1"/>
    <col min="6" max="6" width="0.7109375" style="735" customWidth="1"/>
    <col min="7" max="7" width="3.85546875" style="736" customWidth="1"/>
    <col min="8" max="8" width="1.7109375" style="737" customWidth="1"/>
    <col min="9" max="9" width="7" style="738" customWidth="1"/>
    <col min="10" max="10" width="5.140625" style="739" hidden="1" customWidth="1"/>
    <col min="11" max="11" width="10.7109375" style="355" hidden="1" customWidth="1"/>
    <col min="12" max="12" width="17.85546875" style="390" hidden="1" customWidth="1"/>
    <col min="13" max="13" width="21.85546875" style="740" hidden="1" customWidth="1"/>
    <col min="14" max="14" width="10.5703125" style="356" hidden="1" customWidth="1"/>
    <col min="15" max="15" width="10.7109375" style="741" hidden="1" customWidth="1"/>
    <col min="16" max="16" width="8.85546875" style="349" hidden="1" customWidth="1"/>
    <col min="17" max="17" width="7.42578125" style="289" hidden="1" customWidth="1"/>
    <col min="18" max="18" width="6.42578125" style="289" hidden="1" customWidth="1"/>
    <col min="19" max="19" width="6.28515625" style="349" hidden="1" customWidth="1"/>
    <col min="20" max="20" width="5.85546875" style="349" hidden="1" customWidth="1"/>
    <col min="21" max="21" width="7" style="349" hidden="1" customWidth="1"/>
    <col min="22" max="23" width="3.28515625" style="349" hidden="1" customWidth="1"/>
    <col min="24" max="24" width="3.42578125" style="349" hidden="1" customWidth="1"/>
    <col min="25" max="25" width="4.7109375" style="355" hidden="1" customWidth="1"/>
    <col min="26" max="26" width="3.28515625" style="349" hidden="1" customWidth="1"/>
    <col min="27" max="27" width="5.42578125" style="349" hidden="1" customWidth="1"/>
    <col min="28" max="28" width="11.5703125" style="390" hidden="1" customWidth="1"/>
    <col min="29" max="29" width="11.5703125" style="349" hidden="1" customWidth="1"/>
    <col min="30" max="31" width="10" style="349" hidden="1" customWidth="1"/>
    <col min="32" max="32" width="11.5703125" style="349" hidden="1" customWidth="1"/>
    <col min="33" max="33" width="5" style="742" hidden="1" customWidth="1"/>
    <col min="34" max="34" width="5.85546875" style="742" hidden="1" customWidth="1"/>
    <col min="35" max="35" width="6" style="355" hidden="1" customWidth="1"/>
    <col min="36" max="36" width="5.85546875" style="742" hidden="1" customWidth="1"/>
    <col min="37" max="38" width="11.5703125" style="349" hidden="1" customWidth="1"/>
    <col min="39" max="39" width="11.5703125" style="743" hidden="1" customWidth="1"/>
    <col min="40" max="40" width="21.7109375" style="740" hidden="1" customWidth="1"/>
    <col min="41" max="41" width="17.28515625" style="390" customWidth="1"/>
    <col min="42" max="42" width="16.7109375" style="355" hidden="1" customWidth="1"/>
    <col min="43" max="43" width="16" style="742" hidden="1" customWidth="1"/>
    <col min="44" max="44" width="17.85546875" style="742" customWidth="1"/>
    <col min="45" max="45" width="7.7109375" style="390" customWidth="1"/>
    <col min="46" max="46" width="3.140625" style="349" hidden="1" customWidth="1"/>
    <col min="47" max="47" width="8.140625" style="740" hidden="1" customWidth="1"/>
    <col min="48" max="48" width="9.85546875" style="497" hidden="1" customWidth="1"/>
    <col min="49" max="49" width="12" style="497" hidden="1" customWidth="1"/>
    <col min="50" max="50" width="4.140625" style="349" hidden="1" customWidth="1"/>
    <col min="51" max="51" width="3.140625" style="742" hidden="1" customWidth="1"/>
    <col min="52" max="52" width="3.85546875" style="349" hidden="1" customWidth="1"/>
    <col min="53" max="53" width="5.5703125" style="349" hidden="1" customWidth="1"/>
    <col min="54" max="54" width="3.140625" style="390" hidden="1" customWidth="1"/>
    <col min="55" max="55" width="16.140625" style="144" hidden="1" customWidth="1"/>
    <col min="56" max="56" width="4.5703125" style="355" hidden="1" customWidth="1"/>
    <col min="57" max="57" width="4.7109375" style="355" hidden="1" customWidth="1"/>
    <col min="58" max="58" width="4.5703125" style="355" hidden="1" customWidth="1"/>
    <col min="59" max="59" width="4.5703125" style="742" hidden="1" customWidth="1"/>
    <col min="60" max="60" width="8.7109375" style="742" hidden="1" customWidth="1"/>
    <col min="61" max="61" width="3.7109375" style="355" hidden="1" customWidth="1" outlineLevel="1"/>
    <col min="62" max="63" width="3.7109375" style="250" hidden="1" customWidth="1" outlineLevel="1"/>
    <col min="64" max="64" width="4.5703125" style="742" hidden="1" customWidth="1" collapsed="1"/>
    <col min="65" max="69" width="4.5703125" style="742" hidden="1" customWidth="1"/>
    <col min="70" max="71" width="5.7109375" style="355" hidden="1" customWidth="1"/>
    <col min="72" max="72" width="6" style="355" hidden="1" customWidth="1"/>
    <col min="73" max="73" width="30" style="740" hidden="1" customWidth="1"/>
    <col min="74" max="74" width="5.42578125" style="457" hidden="1" customWidth="1" outlineLevel="1"/>
    <col min="75" max="75" width="10" style="349" hidden="1" customWidth="1" outlineLevel="1"/>
    <col min="76" max="80" width="11.42578125" style="349" hidden="1" customWidth="1" outlineLevel="1"/>
    <col min="81" max="81" width="24.42578125" style="354" hidden="1" customWidth="1" outlineLevel="1"/>
    <col min="82" max="82" width="4.42578125" style="349" hidden="1" customWidth="1" collapsed="1"/>
    <col min="83" max="84" width="4.42578125" style="349" hidden="1" customWidth="1"/>
    <col min="85" max="85" width="9" style="349" hidden="1" customWidth="1"/>
    <col min="86" max="86" width="5.85546875" style="349" hidden="1" customWidth="1"/>
    <col min="87" max="87" width="4.42578125" style="349" hidden="1" customWidth="1"/>
    <col min="88" max="88" width="4.28515625" style="349" hidden="1" customWidth="1"/>
    <col min="89" max="89" width="4.5703125" style="349" hidden="1" customWidth="1"/>
    <col min="90" max="95" width="4.140625" style="349" hidden="1" customWidth="1"/>
    <col min="96" max="96" width="3.85546875" style="349" hidden="1" customWidth="1"/>
    <col min="97" max="97" width="6.28515625" style="349" hidden="1" customWidth="1"/>
    <col min="98" max="98" width="11.7109375" style="349" hidden="1" customWidth="1"/>
    <col min="99" max="99" width="11.7109375" style="145" hidden="1" customWidth="1"/>
    <col min="100" max="102" width="9.140625" style="349" hidden="1" customWidth="1"/>
    <col min="103" max="103" width="6.7109375" style="349" hidden="1" customWidth="1"/>
    <col min="104" max="105" width="11.7109375" style="349" hidden="1" customWidth="1"/>
    <col min="106" max="106" width="19.28515625" style="145" hidden="1" customWidth="1"/>
    <col min="107" max="107" width="11.28515625" style="349" hidden="1" customWidth="1"/>
    <col min="108" max="108" width="11.28515625" style="349" customWidth="1"/>
    <col min="109" max="109" width="10.140625" style="349" hidden="1" customWidth="1"/>
    <col min="110" max="110" width="6.85546875" style="349" hidden="1" customWidth="1"/>
    <col min="111" max="113" width="11.7109375" style="349" hidden="1" customWidth="1"/>
    <col min="114" max="114" width="17.7109375" style="145" hidden="1" customWidth="1"/>
    <col min="115" max="115" width="7.28515625" style="349" customWidth="1"/>
    <col min="116" max="119" width="7.42578125" style="349" hidden="1" customWidth="1"/>
    <col min="120" max="120" width="14.7109375" style="349" hidden="1" customWidth="1"/>
    <col min="121" max="121" width="35.28515625" style="349" hidden="1" customWidth="1"/>
    <col min="122" max="122" width="11.7109375" style="349" hidden="1" customWidth="1"/>
    <col min="123" max="123" width="11.7109375" style="360" hidden="1" customWidth="1"/>
    <col min="124" max="124" width="5.42578125" style="349" hidden="1" customWidth="1"/>
    <col min="125" max="125" width="11.7109375" style="349" hidden="1" customWidth="1"/>
    <col min="126" max="126" width="11.7109375" style="145" hidden="1" customWidth="1"/>
    <col min="127" max="128" width="11.7109375" style="349" hidden="1" customWidth="1"/>
    <col min="129" max="129" width="11.7109375" style="458" hidden="1" customWidth="1"/>
    <col min="130" max="133" width="11.7109375" style="349" hidden="1" customWidth="1"/>
    <col min="134" max="134" width="30.7109375" style="458" hidden="1" customWidth="1"/>
    <col min="135" max="136" width="11.7109375" style="349" hidden="1" customWidth="1"/>
    <col min="137" max="137" width="5.7109375" style="349" hidden="1" customWidth="1"/>
    <col min="138" max="138" width="11.7109375" style="349" hidden="1" customWidth="1"/>
    <col min="139" max="139" width="11.7109375" style="145" hidden="1" customWidth="1"/>
    <col min="140" max="140" width="6.28515625" style="349" hidden="1" customWidth="1"/>
    <col min="141" max="141" width="11.7109375" style="349" hidden="1" customWidth="1"/>
    <col min="142" max="142" width="11.7109375" style="145" hidden="1" customWidth="1"/>
    <col min="143" max="143" width="28.5703125" style="145" hidden="1" customWidth="1"/>
    <col min="144" max="144" width="9.140625" style="349" hidden="1" customWidth="1"/>
    <col min="145" max="145" width="13.140625" style="349" hidden="1" customWidth="1"/>
    <col min="146" max="146" width="19.42578125" style="349" hidden="1" customWidth="1"/>
    <col min="147" max="147" width="17.28515625" style="355" hidden="1" customWidth="1"/>
    <col min="148" max="148" width="12.140625" style="355" hidden="1" customWidth="1"/>
    <col min="149" max="149" width="9.42578125" style="355" hidden="1" customWidth="1"/>
    <col min="150" max="150" width="6" style="390" hidden="1" customWidth="1"/>
    <col min="151" max="151" width="10.140625" style="390" hidden="1" customWidth="1"/>
    <col min="152" max="152" width="10.140625" style="462" hidden="1" customWidth="1"/>
    <col min="153" max="153" width="10" style="462" hidden="1" customWidth="1"/>
    <col min="154" max="154" width="12" style="744" hidden="1" customWidth="1"/>
    <col min="155" max="155" width="15.7109375" style="390" customWidth="1"/>
    <col min="156" max="160" width="15.7109375" style="390" hidden="1" customWidth="1"/>
    <col min="161" max="256" width="15.7109375" style="390"/>
    <col min="257" max="257" width="5.85546875" style="390" customWidth="1"/>
    <col min="258" max="258" width="1.85546875" style="390" customWidth="1"/>
    <col min="259" max="259" width="3.140625" style="390" customWidth="1"/>
    <col min="260" max="260" width="1.7109375" style="390" customWidth="1"/>
    <col min="261" max="261" width="4.7109375" style="390" customWidth="1"/>
    <col min="262" max="262" width="0.7109375" style="390" customWidth="1"/>
    <col min="263" max="263" width="3.85546875" style="390" customWidth="1"/>
    <col min="264" max="264" width="1.7109375" style="390" customWidth="1"/>
    <col min="265" max="265" width="7" style="390" customWidth="1"/>
    <col min="266" max="266" width="5.140625" style="390" customWidth="1"/>
    <col min="267" max="267" width="0" style="390" hidden="1" customWidth="1"/>
    <col min="268" max="268" width="17.85546875" style="390" customWidth="1"/>
    <col min="269" max="269" width="21.85546875" style="390" customWidth="1"/>
    <col min="270" max="270" width="0" style="390" hidden="1" customWidth="1"/>
    <col min="271" max="271" width="10.7109375" style="390" customWidth="1"/>
    <col min="272" max="283" width="0" style="390" hidden="1" customWidth="1"/>
    <col min="284" max="284" width="11.5703125" style="390" customWidth="1"/>
    <col min="285" max="288" width="0" style="390" hidden="1" customWidth="1"/>
    <col min="289" max="289" width="5" style="390" customWidth="1"/>
    <col min="290" max="290" width="5.85546875" style="390" customWidth="1"/>
    <col min="291" max="291" width="0" style="390" hidden="1" customWidth="1"/>
    <col min="292" max="292" width="5.85546875" style="390" customWidth="1"/>
    <col min="293" max="294" width="0" style="390" hidden="1" customWidth="1"/>
    <col min="295" max="295" width="11.5703125" style="390" customWidth="1"/>
    <col min="296" max="296" width="21.7109375" style="390" customWidth="1"/>
    <col min="297" max="297" width="17.28515625" style="390" customWidth="1"/>
    <col min="298" max="298" width="0" style="390" hidden="1" customWidth="1"/>
    <col min="299" max="299" width="16" style="390" customWidth="1"/>
    <col min="300" max="300" width="17.85546875" style="390" customWidth="1"/>
    <col min="301" max="301" width="7.7109375" style="390" customWidth="1"/>
    <col min="302" max="302" width="0" style="390" hidden="1" customWidth="1"/>
    <col min="303" max="303" width="8.140625" style="390" customWidth="1"/>
    <col min="304" max="304" width="9.85546875" style="390" customWidth="1"/>
    <col min="305" max="305" width="12" style="390" customWidth="1"/>
    <col min="306" max="306" width="0" style="390" hidden="1" customWidth="1"/>
    <col min="307" max="307" width="3.140625" style="390" customWidth="1"/>
    <col min="308" max="309" width="0" style="390" hidden="1" customWidth="1"/>
    <col min="310" max="310" width="3.140625" style="390" customWidth="1"/>
    <col min="311" max="314" width="0" style="390" hidden="1" customWidth="1"/>
    <col min="315" max="315" width="4.5703125" style="390" customWidth="1"/>
    <col min="316" max="316" width="8.7109375" style="390" customWidth="1"/>
    <col min="317" max="319" width="0" style="390" hidden="1" customWidth="1"/>
    <col min="320" max="325" width="4.5703125" style="390" customWidth="1"/>
    <col min="326" max="328" width="0" style="390" hidden="1" customWidth="1"/>
    <col min="329" max="329" width="30" style="390" customWidth="1"/>
    <col min="330" max="410" width="0" style="390" hidden="1" customWidth="1"/>
    <col min="411" max="411" width="15.7109375" style="390"/>
    <col min="412" max="416" width="0" style="390" hidden="1" customWidth="1"/>
    <col min="417" max="512" width="15.7109375" style="390"/>
    <col min="513" max="513" width="5.85546875" style="390" customWidth="1"/>
    <col min="514" max="514" width="1.85546875" style="390" customWidth="1"/>
    <col min="515" max="515" width="3.140625" style="390" customWidth="1"/>
    <col min="516" max="516" width="1.7109375" style="390" customWidth="1"/>
    <col min="517" max="517" width="4.7109375" style="390" customWidth="1"/>
    <col min="518" max="518" width="0.7109375" style="390" customWidth="1"/>
    <col min="519" max="519" width="3.85546875" style="390" customWidth="1"/>
    <col min="520" max="520" width="1.7109375" style="390" customWidth="1"/>
    <col min="521" max="521" width="7" style="390" customWidth="1"/>
    <col min="522" max="522" width="5.140625" style="390" customWidth="1"/>
    <col min="523" max="523" width="0" style="390" hidden="1" customWidth="1"/>
    <col min="524" max="524" width="17.85546875" style="390" customWidth="1"/>
    <col min="525" max="525" width="21.85546875" style="390" customWidth="1"/>
    <col min="526" max="526" width="0" style="390" hidden="1" customWidth="1"/>
    <col min="527" max="527" width="10.7109375" style="390" customWidth="1"/>
    <col min="528" max="539" width="0" style="390" hidden="1" customWidth="1"/>
    <col min="540" max="540" width="11.5703125" style="390" customWidth="1"/>
    <col min="541" max="544" width="0" style="390" hidden="1" customWidth="1"/>
    <col min="545" max="545" width="5" style="390" customWidth="1"/>
    <col min="546" max="546" width="5.85546875" style="390" customWidth="1"/>
    <col min="547" max="547" width="0" style="390" hidden="1" customWidth="1"/>
    <col min="548" max="548" width="5.85546875" style="390" customWidth="1"/>
    <col min="549" max="550" width="0" style="390" hidden="1" customWidth="1"/>
    <col min="551" max="551" width="11.5703125" style="390" customWidth="1"/>
    <col min="552" max="552" width="21.7109375" style="390" customWidth="1"/>
    <col min="553" max="553" width="17.28515625" style="390" customWidth="1"/>
    <col min="554" max="554" width="0" style="390" hidden="1" customWidth="1"/>
    <col min="555" max="555" width="16" style="390" customWidth="1"/>
    <col min="556" max="556" width="17.85546875" style="390" customWidth="1"/>
    <col min="557" max="557" width="7.7109375" style="390" customWidth="1"/>
    <col min="558" max="558" width="0" style="390" hidden="1" customWidth="1"/>
    <col min="559" max="559" width="8.140625" style="390" customWidth="1"/>
    <col min="560" max="560" width="9.85546875" style="390" customWidth="1"/>
    <col min="561" max="561" width="12" style="390" customWidth="1"/>
    <col min="562" max="562" width="0" style="390" hidden="1" customWidth="1"/>
    <col min="563" max="563" width="3.140625" style="390" customWidth="1"/>
    <col min="564" max="565" width="0" style="390" hidden="1" customWidth="1"/>
    <col min="566" max="566" width="3.140625" style="390" customWidth="1"/>
    <col min="567" max="570" width="0" style="390" hidden="1" customWidth="1"/>
    <col min="571" max="571" width="4.5703125" style="390" customWidth="1"/>
    <col min="572" max="572" width="8.7109375" style="390" customWidth="1"/>
    <col min="573" max="575" width="0" style="390" hidden="1" customWidth="1"/>
    <col min="576" max="581" width="4.5703125" style="390" customWidth="1"/>
    <col min="582" max="584" width="0" style="390" hidden="1" customWidth="1"/>
    <col min="585" max="585" width="30" style="390" customWidth="1"/>
    <col min="586" max="666" width="0" style="390" hidden="1" customWidth="1"/>
    <col min="667" max="667" width="15.7109375" style="390"/>
    <col min="668" max="672" width="0" style="390" hidden="1" customWidth="1"/>
    <col min="673" max="768" width="15.7109375" style="390"/>
    <col min="769" max="769" width="5.85546875" style="390" customWidth="1"/>
    <col min="770" max="770" width="1.85546875" style="390" customWidth="1"/>
    <col min="771" max="771" width="3.140625" style="390" customWidth="1"/>
    <col min="772" max="772" width="1.7109375" style="390" customWidth="1"/>
    <col min="773" max="773" width="4.7109375" style="390" customWidth="1"/>
    <col min="774" max="774" width="0.7109375" style="390" customWidth="1"/>
    <col min="775" max="775" width="3.85546875" style="390" customWidth="1"/>
    <col min="776" max="776" width="1.7109375" style="390" customWidth="1"/>
    <col min="777" max="777" width="7" style="390" customWidth="1"/>
    <col min="778" max="778" width="5.140625" style="390" customWidth="1"/>
    <col min="779" max="779" width="0" style="390" hidden="1" customWidth="1"/>
    <col min="780" max="780" width="17.85546875" style="390" customWidth="1"/>
    <col min="781" max="781" width="21.85546875" style="390" customWidth="1"/>
    <col min="782" max="782" width="0" style="390" hidden="1" customWidth="1"/>
    <col min="783" max="783" width="10.7109375" style="390" customWidth="1"/>
    <col min="784" max="795" width="0" style="390" hidden="1" customWidth="1"/>
    <col min="796" max="796" width="11.5703125" style="390" customWidth="1"/>
    <col min="797" max="800" width="0" style="390" hidden="1" customWidth="1"/>
    <col min="801" max="801" width="5" style="390" customWidth="1"/>
    <col min="802" max="802" width="5.85546875" style="390" customWidth="1"/>
    <col min="803" max="803" width="0" style="390" hidden="1" customWidth="1"/>
    <col min="804" max="804" width="5.85546875" style="390" customWidth="1"/>
    <col min="805" max="806" width="0" style="390" hidden="1" customWidth="1"/>
    <col min="807" max="807" width="11.5703125" style="390" customWidth="1"/>
    <col min="808" max="808" width="21.7109375" style="390" customWidth="1"/>
    <col min="809" max="809" width="17.28515625" style="390" customWidth="1"/>
    <col min="810" max="810" width="0" style="390" hidden="1" customWidth="1"/>
    <col min="811" max="811" width="16" style="390" customWidth="1"/>
    <col min="812" max="812" width="17.85546875" style="390" customWidth="1"/>
    <col min="813" max="813" width="7.7109375" style="390" customWidth="1"/>
    <col min="814" max="814" width="0" style="390" hidden="1" customWidth="1"/>
    <col min="815" max="815" width="8.140625" style="390" customWidth="1"/>
    <col min="816" max="816" width="9.85546875" style="390" customWidth="1"/>
    <col min="817" max="817" width="12" style="390" customWidth="1"/>
    <col min="818" max="818" width="0" style="390" hidden="1" customWidth="1"/>
    <col min="819" max="819" width="3.140625" style="390" customWidth="1"/>
    <col min="820" max="821" width="0" style="390" hidden="1" customWidth="1"/>
    <col min="822" max="822" width="3.140625" style="390" customWidth="1"/>
    <col min="823" max="826" width="0" style="390" hidden="1" customWidth="1"/>
    <col min="827" max="827" width="4.5703125" style="390" customWidth="1"/>
    <col min="828" max="828" width="8.7109375" style="390" customWidth="1"/>
    <col min="829" max="831" width="0" style="390" hidden="1" customWidth="1"/>
    <col min="832" max="837" width="4.5703125" style="390" customWidth="1"/>
    <col min="838" max="840" width="0" style="390" hidden="1" customWidth="1"/>
    <col min="841" max="841" width="30" style="390" customWidth="1"/>
    <col min="842" max="922" width="0" style="390" hidden="1" customWidth="1"/>
    <col min="923" max="923" width="15.7109375" style="390"/>
    <col min="924" max="928" width="0" style="390" hidden="1" customWidth="1"/>
    <col min="929" max="1024" width="15.7109375" style="390"/>
    <col min="1025" max="1025" width="5.85546875" style="390" customWidth="1"/>
    <col min="1026" max="1026" width="1.85546875" style="390" customWidth="1"/>
    <col min="1027" max="1027" width="3.140625" style="390" customWidth="1"/>
    <col min="1028" max="1028" width="1.7109375" style="390" customWidth="1"/>
    <col min="1029" max="1029" width="4.7109375" style="390" customWidth="1"/>
    <col min="1030" max="1030" width="0.7109375" style="390" customWidth="1"/>
    <col min="1031" max="1031" width="3.85546875" style="390" customWidth="1"/>
    <col min="1032" max="1032" width="1.7109375" style="390" customWidth="1"/>
    <col min="1033" max="1033" width="7" style="390" customWidth="1"/>
    <col min="1034" max="1034" width="5.140625" style="390" customWidth="1"/>
    <col min="1035" max="1035" width="0" style="390" hidden="1" customWidth="1"/>
    <col min="1036" max="1036" width="17.85546875" style="390" customWidth="1"/>
    <col min="1037" max="1037" width="21.85546875" style="390" customWidth="1"/>
    <col min="1038" max="1038" width="0" style="390" hidden="1" customWidth="1"/>
    <col min="1039" max="1039" width="10.7109375" style="390" customWidth="1"/>
    <col min="1040" max="1051" width="0" style="390" hidden="1" customWidth="1"/>
    <col min="1052" max="1052" width="11.5703125" style="390" customWidth="1"/>
    <col min="1053" max="1056" width="0" style="390" hidden="1" customWidth="1"/>
    <col min="1057" max="1057" width="5" style="390" customWidth="1"/>
    <col min="1058" max="1058" width="5.85546875" style="390" customWidth="1"/>
    <col min="1059" max="1059" width="0" style="390" hidden="1" customWidth="1"/>
    <col min="1060" max="1060" width="5.85546875" style="390" customWidth="1"/>
    <col min="1061" max="1062" width="0" style="390" hidden="1" customWidth="1"/>
    <col min="1063" max="1063" width="11.5703125" style="390" customWidth="1"/>
    <col min="1064" max="1064" width="21.7109375" style="390" customWidth="1"/>
    <col min="1065" max="1065" width="17.28515625" style="390" customWidth="1"/>
    <col min="1066" max="1066" width="0" style="390" hidden="1" customWidth="1"/>
    <col min="1067" max="1067" width="16" style="390" customWidth="1"/>
    <col min="1068" max="1068" width="17.85546875" style="390" customWidth="1"/>
    <col min="1069" max="1069" width="7.7109375" style="390" customWidth="1"/>
    <col min="1070" max="1070" width="0" style="390" hidden="1" customWidth="1"/>
    <col min="1071" max="1071" width="8.140625" style="390" customWidth="1"/>
    <col min="1072" max="1072" width="9.85546875" style="390" customWidth="1"/>
    <col min="1073" max="1073" width="12" style="390" customWidth="1"/>
    <col min="1074" max="1074" width="0" style="390" hidden="1" customWidth="1"/>
    <col min="1075" max="1075" width="3.140625" style="390" customWidth="1"/>
    <col min="1076" max="1077" width="0" style="390" hidden="1" customWidth="1"/>
    <col min="1078" max="1078" width="3.140625" style="390" customWidth="1"/>
    <col min="1079" max="1082" width="0" style="390" hidden="1" customWidth="1"/>
    <col min="1083" max="1083" width="4.5703125" style="390" customWidth="1"/>
    <col min="1084" max="1084" width="8.7109375" style="390" customWidth="1"/>
    <col min="1085" max="1087" width="0" style="390" hidden="1" customWidth="1"/>
    <col min="1088" max="1093" width="4.5703125" style="390" customWidth="1"/>
    <col min="1094" max="1096" width="0" style="390" hidden="1" customWidth="1"/>
    <col min="1097" max="1097" width="30" style="390" customWidth="1"/>
    <col min="1098" max="1178" width="0" style="390" hidden="1" customWidth="1"/>
    <col min="1179" max="1179" width="15.7109375" style="390"/>
    <col min="1180" max="1184" width="0" style="390" hidden="1" customWidth="1"/>
    <col min="1185" max="1280" width="15.7109375" style="390"/>
    <col min="1281" max="1281" width="5.85546875" style="390" customWidth="1"/>
    <col min="1282" max="1282" width="1.85546875" style="390" customWidth="1"/>
    <col min="1283" max="1283" width="3.140625" style="390" customWidth="1"/>
    <col min="1284" max="1284" width="1.7109375" style="390" customWidth="1"/>
    <col min="1285" max="1285" width="4.7109375" style="390" customWidth="1"/>
    <col min="1286" max="1286" width="0.7109375" style="390" customWidth="1"/>
    <col min="1287" max="1287" width="3.85546875" style="390" customWidth="1"/>
    <col min="1288" max="1288" width="1.7109375" style="390" customWidth="1"/>
    <col min="1289" max="1289" width="7" style="390" customWidth="1"/>
    <col min="1290" max="1290" width="5.140625" style="390" customWidth="1"/>
    <col min="1291" max="1291" width="0" style="390" hidden="1" customWidth="1"/>
    <col min="1292" max="1292" width="17.85546875" style="390" customWidth="1"/>
    <col min="1293" max="1293" width="21.85546875" style="390" customWidth="1"/>
    <col min="1294" max="1294" width="0" style="390" hidden="1" customWidth="1"/>
    <col min="1295" max="1295" width="10.7109375" style="390" customWidth="1"/>
    <col min="1296" max="1307" width="0" style="390" hidden="1" customWidth="1"/>
    <col min="1308" max="1308" width="11.5703125" style="390" customWidth="1"/>
    <col min="1309" max="1312" width="0" style="390" hidden="1" customWidth="1"/>
    <col min="1313" max="1313" width="5" style="390" customWidth="1"/>
    <col min="1314" max="1314" width="5.85546875" style="390" customWidth="1"/>
    <col min="1315" max="1315" width="0" style="390" hidden="1" customWidth="1"/>
    <col min="1316" max="1316" width="5.85546875" style="390" customWidth="1"/>
    <col min="1317" max="1318" width="0" style="390" hidden="1" customWidth="1"/>
    <col min="1319" max="1319" width="11.5703125" style="390" customWidth="1"/>
    <col min="1320" max="1320" width="21.7109375" style="390" customWidth="1"/>
    <col min="1321" max="1321" width="17.28515625" style="390" customWidth="1"/>
    <col min="1322" max="1322" width="0" style="390" hidden="1" customWidth="1"/>
    <col min="1323" max="1323" width="16" style="390" customWidth="1"/>
    <col min="1324" max="1324" width="17.85546875" style="390" customWidth="1"/>
    <col min="1325" max="1325" width="7.7109375" style="390" customWidth="1"/>
    <col min="1326" max="1326" width="0" style="390" hidden="1" customWidth="1"/>
    <col min="1327" max="1327" width="8.140625" style="390" customWidth="1"/>
    <col min="1328" max="1328" width="9.85546875" style="390" customWidth="1"/>
    <col min="1329" max="1329" width="12" style="390" customWidth="1"/>
    <col min="1330" max="1330" width="0" style="390" hidden="1" customWidth="1"/>
    <col min="1331" max="1331" width="3.140625" style="390" customWidth="1"/>
    <col min="1332" max="1333" width="0" style="390" hidden="1" customWidth="1"/>
    <col min="1334" max="1334" width="3.140625" style="390" customWidth="1"/>
    <col min="1335" max="1338" width="0" style="390" hidden="1" customWidth="1"/>
    <col min="1339" max="1339" width="4.5703125" style="390" customWidth="1"/>
    <col min="1340" max="1340" width="8.7109375" style="390" customWidth="1"/>
    <col min="1341" max="1343" width="0" style="390" hidden="1" customWidth="1"/>
    <col min="1344" max="1349" width="4.5703125" style="390" customWidth="1"/>
    <col min="1350" max="1352" width="0" style="390" hidden="1" customWidth="1"/>
    <col min="1353" max="1353" width="30" style="390" customWidth="1"/>
    <col min="1354" max="1434" width="0" style="390" hidden="1" customWidth="1"/>
    <col min="1435" max="1435" width="15.7109375" style="390"/>
    <col min="1436" max="1440" width="0" style="390" hidden="1" customWidth="1"/>
    <col min="1441" max="1536" width="15.7109375" style="390"/>
    <col min="1537" max="1537" width="5.85546875" style="390" customWidth="1"/>
    <col min="1538" max="1538" width="1.85546875" style="390" customWidth="1"/>
    <col min="1539" max="1539" width="3.140625" style="390" customWidth="1"/>
    <col min="1540" max="1540" width="1.7109375" style="390" customWidth="1"/>
    <col min="1541" max="1541" width="4.7109375" style="390" customWidth="1"/>
    <col min="1542" max="1542" width="0.7109375" style="390" customWidth="1"/>
    <col min="1543" max="1543" width="3.85546875" style="390" customWidth="1"/>
    <col min="1544" max="1544" width="1.7109375" style="390" customWidth="1"/>
    <col min="1545" max="1545" width="7" style="390" customWidth="1"/>
    <col min="1546" max="1546" width="5.140625" style="390" customWidth="1"/>
    <col min="1547" max="1547" width="0" style="390" hidden="1" customWidth="1"/>
    <col min="1548" max="1548" width="17.85546875" style="390" customWidth="1"/>
    <col min="1549" max="1549" width="21.85546875" style="390" customWidth="1"/>
    <col min="1550" max="1550" width="0" style="390" hidden="1" customWidth="1"/>
    <col min="1551" max="1551" width="10.7109375" style="390" customWidth="1"/>
    <col min="1552" max="1563" width="0" style="390" hidden="1" customWidth="1"/>
    <col min="1564" max="1564" width="11.5703125" style="390" customWidth="1"/>
    <col min="1565" max="1568" width="0" style="390" hidden="1" customWidth="1"/>
    <col min="1569" max="1569" width="5" style="390" customWidth="1"/>
    <col min="1570" max="1570" width="5.85546875" style="390" customWidth="1"/>
    <col min="1571" max="1571" width="0" style="390" hidden="1" customWidth="1"/>
    <col min="1572" max="1572" width="5.85546875" style="390" customWidth="1"/>
    <col min="1573" max="1574" width="0" style="390" hidden="1" customWidth="1"/>
    <col min="1575" max="1575" width="11.5703125" style="390" customWidth="1"/>
    <col min="1576" max="1576" width="21.7109375" style="390" customWidth="1"/>
    <col min="1577" max="1577" width="17.28515625" style="390" customWidth="1"/>
    <col min="1578" max="1578" width="0" style="390" hidden="1" customWidth="1"/>
    <col min="1579" max="1579" width="16" style="390" customWidth="1"/>
    <col min="1580" max="1580" width="17.85546875" style="390" customWidth="1"/>
    <col min="1581" max="1581" width="7.7109375" style="390" customWidth="1"/>
    <col min="1582" max="1582" width="0" style="390" hidden="1" customWidth="1"/>
    <col min="1583" max="1583" width="8.140625" style="390" customWidth="1"/>
    <col min="1584" max="1584" width="9.85546875" style="390" customWidth="1"/>
    <col min="1585" max="1585" width="12" style="390" customWidth="1"/>
    <col min="1586" max="1586" width="0" style="390" hidden="1" customWidth="1"/>
    <col min="1587" max="1587" width="3.140625" style="390" customWidth="1"/>
    <col min="1588" max="1589" width="0" style="390" hidden="1" customWidth="1"/>
    <col min="1590" max="1590" width="3.140625" style="390" customWidth="1"/>
    <col min="1591" max="1594" width="0" style="390" hidden="1" customWidth="1"/>
    <col min="1595" max="1595" width="4.5703125" style="390" customWidth="1"/>
    <col min="1596" max="1596" width="8.7109375" style="390" customWidth="1"/>
    <col min="1597" max="1599" width="0" style="390" hidden="1" customWidth="1"/>
    <col min="1600" max="1605" width="4.5703125" style="390" customWidth="1"/>
    <col min="1606" max="1608" width="0" style="390" hidden="1" customWidth="1"/>
    <col min="1609" max="1609" width="30" style="390" customWidth="1"/>
    <col min="1610" max="1690" width="0" style="390" hidden="1" customWidth="1"/>
    <col min="1691" max="1691" width="15.7109375" style="390"/>
    <col min="1692" max="1696" width="0" style="390" hidden="1" customWidth="1"/>
    <col min="1697" max="1792" width="15.7109375" style="390"/>
    <col min="1793" max="1793" width="5.85546875" style="390" customWidth="1"/>
    <col min="1794" max="1794" width="1.85546875" style="390" customWidth="1"/>
    <col min="1795" max="1795" width="3.140625" style="390" customWidth="1"/>
    <col min="1796" max="1796" width="1.7109375" style="390" customWidth="1"/>
    <col min="1797" max="1797" width="4.7109375" style="390" customWidth="1"/>
    <col min="1798" max="1798" width="0.7109375" style="390" customWidth="1"/>
    <col min="1799" max="1799" width="3.85546875" style="390" customWidth="1"/>
    <col min="1800" max="1800" width="1.7109375" style="390" customWidth="1"/>
    <col min="1801" max="1801" width="7" style="390" customWidth="1"/>
    <col min="1802" max="1802" width="5.140625" style="390" customWidth="1"/>
    <col min="1803" max="1803" width="0" style="390" hidden="1" customWidth="1"/>
    <col min="1804" max="1804" width="17.85546875" style="390" customWidth="1"/>
    <col min="1805" max="1805" width="21.85546875" style="390" customWidth="1"/>
    <col min="1806" max="1806" width="0" style="390" hidden="1" customWidth="1"/>
    <col min="1807" max="1807" width="10.7109375" style="390" customWidth="1"/>
    <col min="1808" max="1819" width="0" style="390" hidden="1" customWidth="1"/>
    <col min="1820" max="1820" width="11.5703125" style="390" customWidth="1"/>
    <col min="1821" max="1824" width="0" style="390" hidden="1" customWidth="1"/>
    <col min="1825" max="1825" width="5" style="390" customWidth="1"/>
    <col min="1826" max="1826" width="5.85546875" style="390" customWidth="1"/>
    <col min="1827" max="1827" width="0" style="390" hidden="1" customWidth="1"/>
    <col min="1828" max="1828" width="5.85546875" style="390" customWidth="1"/>
    <col min="1829" max="1830" width="0" style="390" hidden="1" customWidth="1"/>
    <col min="1831" max="1831" width="11.5703125" style="390" customWidth="1"/>
    <col min="1832" max="1832" width="21.7109375" style="390" customWidth="1"/>
    <col min="1833" max="1833" width="17.28515625" style="390" customWidth="1"/>
    <col min="1834" max="1834" width="0" style="390" hidden="1" customWidth="1"/>
    <col min="1835" max="1835" width="16" style="390" customWidth="1"/>
    <col min="1836" max="1836" width="17.85546875" style="390" customWidth="1"/>
    <col min="1837" max="1837" width="7.7109375" style="390" customWidth="1"/>
    <col min="1838" max="1838" width="0" style="390" hidden="1" customWidth="1"/>
    <col min="1839" max="1839" width="8.140625" style="390" customWidth="1"/>
    <col min="1840" max="1840" width="9.85546875" style="390" customWidth="1"/>
    <col min="1841" max="1841" width="12" style="390" customWidth="1"/>
    <col min="1842" max="1842" width="0" style="390" hidden="1" customWidth="1"/>
    <col min="1843" max="1843" width="3.140625" style="390" customWidth="1"/>
    <col min="1844" max="1845" width="0" style="390" hidden="1" customWidth="1"/>
    <col min="1846" max="1846" width="3.140625" style="390" customWidth="1"/>
    <col min="1847" max="1850" width="0" style="390" hidden="1" customWidth="1"/>
    <col min="1851" max="1851" width="4.5703125" style="390" customWidth="1"/>
    <col min="1852" max="1852" width="8.7109375" style="390" customWidth="1"/>
    <col min="1853" max="1855" width="0" style="390" hidden="1" customWidth="1"/>
    <col min="1856" max="1861" width="4.5703125" style="390" customWidth="1"/>
    <col min="1862" max="1864" width="0" style="390" hidden="1" customWidth="1"/>
    <col min="1865" max="1865" width="30" style="390" customWidth="1"/>
    <col min="1866" max="1946" width="0" style="390" hidden="1" customWidth="1"/>
    <col min="1947" max="1947" width="15.7109375" style="390"/>
    <col min="1948" max="1952" width="0" style="390" hidden="1" customWidth="1"/>
    <col min="1953" max="2048" width="15.7109375" style="390"/>
    <col min="2049" max="2049" width="5.85546875" style="390" customWidth="1"/>
    <col min="2050" max="2050" width="1.85546875" style="390" customWidth="1"/>
    <col min="2051" max="2051" width="3.140625" style="390" customWidth="1"/>
    <col min="2052" max="2052" width="1.7109375" style="390" customWidth="1"/>
    <col min="2053" max="2053" width="4.7109375" style="390" customWidth="1"/>
    <col min="2054" max="2054" width="0.7109375" style="390" customWidth="1"/>
    <col min="2055" max="2055" width="3.85546875" style="390" customWidth="1"/>
    <col min="2056" max="2056" width="1.7109375" style="390" customWidth="1"/>
    <col min="2057" max="2057" width="7" style="390" customWidth="1"/>
    <col min="2058" max="2058" width="5.140625" style="390" customWidth="1"/>
    <col min="2059" max="2059" width="0" style="390" hidden="1" customWidth="1"/>
    <col min="2060" max="2060" width="17.85546875" style="390" customWidth="1"/>
    <col min="2061" max="2061" width="21.85546875" style="390" customWidth="1"/>
    <col min="2062" max="2062" width="0" style="390" hidden="1" customWidth="1"/>
    <col min="2063" max="2063" width="10.7109375" style="390" customWidth="1"/>
    <col min="2064" max="2075" width="0" style="390" hidden="1" customWidth="1"/>
    <col min="2076" max="2076" width="11.5703125" style="390" customWidth="1"/>
    <col min="2077" max="2080" width="0" style="390" hidden="1" customWidth="1"/>
    <col min="2081" max="2081" width="5" style="390" customWidth="1"/>
    <col min="2082" max="2082" width="5.85546875" style="390" customWidth="1"/>
    <col min="2083" max="2083" width="0" style="390" hidden="1" customWidth="1"/>
    <col min="2084" max="2084" width="5.85546875" style="390" customWidth="1"/>
    <col min="2085" max="2086" width="0" style="390" hidden="1" customWidth="1"/>
    <col min="2087" max="2087" width="11.5703125" style="390" customWidth="1"/>
    <col min="2088" max="2088" width="21.7109375" style="390" customWidth="1"/>
    <col min="2089" max="2089" width="17.28515625" style="390" customWidth="1"/>
    <col min="2090" max="2090" width="0" style="390" hidden="1" customWidth="1"/>
    <col min="2091" max="2091" width="16" style="390" customWidth="1"/>
    <col min="2092" max="2092" width="17.85546875" style="390" customWidth="1"/>
    <col min="2093" max="2093" width="7.7109375" style="390" customWidth="1"/>
    <col min="2094" max="2094" width="0" style="390" hidden="1" customWidth="1"/>
    <col min="2095" max="2095" width="8.140625" style="390" customWidth="1"/>
    <col min="2096" max="2096" width="9.85546875" style="390" customWidth="1"/>
    <col min="2097" max="2097" width="12" style="390" customWidth="1"/>
    <col min="2098" max="2098" width="0" style="390" hidden="1" customWidth="1"/>
    <col min="2099" max="2099" width="3.140625" style="390" customWidth="1"/>
    <col min="2100" max="2101" width="0" style="390" hidden="1" customWidth="1"/>
    <col min="2102" max="2102" width="3.140625" style="390" customWidth="1"/>
    <col min="2103" max="2106" width="0" style="390" hidden="1" customWidth="1"/>
    <col min="2107" max="2107" width="4.5703125" style="390" customWidth="1"/>
    <col min="2108" max="2108" width="8.7109375" style="390" customWidth="1"/>
    <col min="2109" max="2111" width="0" style="390" hidden="1" customWidth="1"/>
    <col min="2112" max="2117" width="4.5703125" style="390" customWidth="1"/>
    <col min="2118" max="2120" width="0" style="390" hidden="1" customWidth="1"/>
    <col min="2121" max="2121" width="30" style="390" customWidth="1"/>
    <col min="2122" max="2202" width="0" style="390" hidden="1" customWidth="1"/>
    <col min="2203" max="2203" width="15.7109375" style="390"/>
    <col min="2204" max="2208" width="0" style="390" hidden="1" customWidth="1"/>
    <col min="2209" max="2304" width="15.7109375" style="390"/>
    <col min="2305" max="2305" width="5.85546875" style="390" customWidth="1"/>
    <col min="2306" max="2306" width="1.85546875" style="390" customWidth="1"/>
    <col min="2307" max="2307" width="3.140625" style="390" customWidth="1"/>
    <col min="2308" max="2308" width="1.7109375" style="390" customWidth="1"/>
    <col min="2309" max="2309" width="4.7109375" style="390" customWidth="1"/>
    <col min="2310" max="2310" width="0.7109375" style="390" customWidth="1"/>
    <col min="2311" max="2311" width="3.85546875" style="390" customWidth="1"/>
    <col min="2312" max="2312" width="1.7109375" style="390" customWidth="1"/>
    <col min="2313" max="2313" width="7" style="390" customWidth="1"/>
    <col min="2314" max="2314" width="5.140625" style="390" customWidth="1"/>
    <col min="2315" max="2315" width="0" style="390" hidden="1" customWidth="1"/>
    <col min="2316" max="2316" width="17.85546875" style="390" customWidth="1"/>
    <col min="2317" max="2317" width="21.85546875" style="390" customWidth="1"/>
    <col min="2318" max="2318" width="0" style="390" hidden="1" customWidth="1"/>
    <col min="2319" max="2319" width="10.7109375" style="390" customWidth="1"/>
    <col min="2320" max="2331" width="0" style="390" hidden="1" customWidth="1"/>
    <col min="2332" max="2332" width="11.5703125" style="390" customWidth="1"/>
    <col min="2333" max="2336" width="0" style="390" hidden="1" customWidth="1"/>
    <col min="2337" max="2337" width="5" style="390" customWidth="1"/>
    <col min="2338" max="2338" width="5.85546875" style="390" customWidth="1"/>
    <col min="2339" max="2339" width="0" style="390" hidden="1" customWidth="1"/>
    <col min="2340" max="2340" width="5.85546875" style="390" customWidth="1"/>
    <col min="2341" max="2342" width="0" style="390" hidden="1" customWidth="1"/>
    <col min="2343" max="2343" width="11.5703125" style="390" customWidth="1"/>
    <col min="2344" max="2344" width="21.7109375" style="390" customWidth="1"/>
    <col min="2345" max="2345" width="17.28515625" style="390" customWidth="1"/>
    <col min="2346" max="2346" width="0" style="390" hidden="1" customWidth="1"/>
    <col min="2347" max="2347" width="16" style="390" customWidth="1"/>
    <col min="2348" max="2348" width="17.85546875" style="390" customWidth="1"/>
    <col min="2349" max="2349" width="7.7109375" style="390" customWidth="1"/>
    <col min="2350" max="2350" width="0" style="390" hidden="1" customWidth="1"/>
    <col min="2351" max="2351" width="8.140625" style="390" customWidth="1"/>
    <col min="2352" max="2352" width="9.85546875" style="390" customWidth="1"/>
    <col min="2353" max="2353" width="12" style="390" customWidth="1"/>
    <col min="2354" max="2354" width="0" style="390" hidden="1" customWidth="1"/>
    <col min="2355" max="2355" width="3.140625" style="390" customWidth="1"/>
    <col min="2356" max="2357" width="0" style="390" hidden="1" customWidth="1"/>
    <col min="2358" max="2358" width="3.140625" style="390" customWidth="1"/>
    <col min="2359" max="2362" width="0" style="390" hidden="1" customWidth="1"/>
    <col min="2363" max="2363" width="4.5703125" style="390" customWidth="1"/>
    <col min="2364" max="2364" width="8.7109375" style="390" customWidth="1"/>
    <col min="2365" max="2367" width="0" style="390" hidden="1" customWidth="1"/>
    <col min="2368" max="2373" width="4.5703125" style="390" customWidth="1"/>
    <col min="2374" max="2376" width="0" style="390" hidden="1" customWidth="1"/>
    <col min="2377" max="2377" width="30" style="390" customWidth="1"/>
    <col min="2378" max="2458" width="0" style="390" hidden="1" customWidth="1"/>
    <col min="2459" max="2459" width="15.7109375" style="390"/>
    <col min="2460" max="2464" width="0" style="390" hidden="1" customWidth="1"/>
    <col min="2465" max="2560" width="15.7109375" style="390"/>
    <col min="2561" max="2561" width="5.85546875" style="390" customWidth="1"/>
    <col min="2562" max="2562" width="1.85546875" style="390" customWidth="1"/>
    <col min="2563" max="2563" width="3.140625" style="390" customWidth="1"/>
    <col min="2564" max="2564" width="1.7109375" style="390" customWidth="1"/>
    <col min="2565" max="2565" width="4.7109375" style="390" customWidth="1"/>
    <col min="2566" max="2566" width="0.7109375" style="390" customWidth="1"/>
    <col min="2567" max="2567" width="3.85546875" style="390" customWidth="1"/>
    <col min="2568" max="2568" width="1.7109375" style="390" customWidth="1"/>
    <col min="2569" max="2569" width="7" style="390" customWidth="1"/>
    <col min="2570" max="2570" width="5.140625" style="390" customWidth="1"/>
    <col min="2571" max="2571" width="0" style="390" hidden="1" customWidth="1"/>
    <col min="2572" max="2572" width="17.85546875" style="390" customWidth="1"/>
    <col min="2573" max="2573" width="21.85546875" style="390" customWidth="1"/>
    <col min="2574" max="2574" width="0" style="390" hidden="1" customWidth="1"/>
    <col min="2575" max="2575" width="10.7109375" style="390" customWidth="1"/>
    <col min="2576" max="2587" width="0" style="390" hidden="1" customWidth="1"/>
    <col min="2588" max="2588" width="11.5703125" style="390" customWidth="1"/>
    <col min="2589" max="2592" width="0" style="390" hidden="1" customWidth="1"/>
    <col min="2593" max="2593" width="5" style="390" customWidth="1"/>
    <col min="2594" max="2594" width="5.85546875" style="390" customWidth="1"/>
    <col min="2595" max="2595" width="0" style="390" hidden="1" customWidth="1"/>
    <col min="2596" max="2596" width="5.85546875" style="390" customWidth="1"/>
    <col min="2597" max="2598" width="0" style="390" hidden="1" customWidth="1"/>
    <col min="2599" max="2599" width="11.5703125" style="390" customWidth="1"/>
    <col min="2600" max="2600" width="21.7109375" style="390" customWidth="1"/>
    <col min="2601" max="2601" width="17.28515625" style="390" customWidth="1"/>
    <col min="2602" max="2602" width="0" style="390" hidden="1" customWidth="1"/>
    <col min="2603" max="2603" width="16" style="390" customWidth="1"/>
    <col min="2604" max="2604" width="17.85546875" style="390" customWidth="1"/>
    <col min="2605" max="2605" width="7.7109375" style="390" customWidth="1"/>
    <col min="2606" max="2606" width="0" style="390" hidden="1" customWidth="1"/>
    <col min="2607" max="2607" width="8.140625" style="390" customWidth="1"/>
    <col min="2608" max="2608" width="9.85546875" style="390" customWidth="1"/>
    <col min="2609" max="2609" width="12" style="390" customWidth="1"/>
    <col min="2610" max="2610" width="0" style="390" hidden="1" customWidth="1"/>
    <col min="2611" max="2611" width="3.140625" style="390" customWidth="1"/>
    <col min="2612" max="2613" width="0" style="390" hidden="1" customWidth="1"/>
    <col min="2614" max="2614" width="3.140625" style="390" customWidth="1"/>
    <col min="2615" max="2618" width="0" style="390" hidden="1" customWidth="1"/>
    <col min="2619" max="2619" width="4.5703125" style="390" customWidth="1"/>
    <col min="2620" max="2620" width="8.7109375" style="390" customWidth="1"/>
    <col min="2621" max="2623" width="0" style="390" hidden="1" customWidth="1"/>
    <col min="2624" max="2629" width="4.5703125" style="390" customWidth="1"/>
    <col min="2630" max="2632" width="0" style="390" hidden="1" customWidth="1"/>
    <col min="2633" max="2633" width="30" style="390" customWidth="1"/>
    <col min="2634" max="2714" width="0" style="390" hidden="1" customWidth="1"/>
    <col min="2715" max="2715" width="15.7109375" style="390"/>
    <col min="2716" max="2720" width="0" style="390" hidden="1" customWidth="1"/>
    <col min="2721" max="2816" width="15.7109375" style="390"/>
    <col min="2817" max="2817" width="5.85546875" style="390" customWidth="1"/>
    <col min="2818" max="2818" width="1.85546875" style="390" customWidth="1"/>
    <col min="2819" max="2819" width="3.140625" style="390" customWidth="1"/>
    <col min="2820" max="2820" width="1.7109375" style="390" customWidth="1"/>
    <col min="2821" max="2821" width="4.7109375" style="390" customWidth="1"/>
    <col min="2822" max="2822" width="0.7109375" style="390" customWidth="1"/>
    <col min="2823" max="2823" width="3.85546875" style="390" customWidth="1"/>
    <col min="2824" max="2824" width="1.7109375" style="390" customWidth="1"/>
    <col min="2825" max="2825" width="7" style="390" customWidth="1"/>
    <col min="2826" max="2826" width="5.140625" style="390" customWidth="1"/>
    <col min="2827" max="2827" width="0" style="390" hidden="1" customWidth="1"/>
    <col min="2828" max="2828" width="17.85546875" style="390" customWidth="1"/>
    <col min="2829" max="2829" width="21.85546875" style="390" customWidth="1"/>
    <col min="2830" max="2830" width="0" style="390" hidden="1" customWidth="1"/>
    <col min="2831" max="2831" width="10.7109375" style="390" customWidth="1"/>
    <col min="2832" max="2843" width="0" style="390" hidden="1" customWidth="1"/>
    <col min="2844" max="2844" width="11.5703125" style="390" customWidth="1"/>
    <col min="2845" max="2848" width="0" style="390" hidden="1" customWidth="1"/>
    <col min="2849" max="2849" width="5" style="390" customWidth="1"/>
    <col min="2850" max="2850" width="5.85546875" style="390" customWidth="1"/>
    <col min="2851" max="2851" width="0" style="390" hidden="1" customWidth="1"/>
    <col min="2852" max="2852" width="5.85546875" style="390" customWidth="1"/>
    <col min="2853" max="2854" width="0" style="390" hidden="1" customWidth="1"/>
    <col min="2855" max="2855" width="11.5703125" style="390" customWidth="1"/>
    <col min="2856" max="2856" width="21.7109375" style="390" customWidth="1"/>
    <col min="2857" max="2857" width="17.28515625" style="390" customWidth="1"/>
    <col min="2858" max="2858" width="0" style="390" hidden="1" customWidth="1"/>
    <col min="2859" max="2859" width="16" style="390" customWidth="1"/>
    <col min="2860" max="2860" width="17.85546875" style="390" customWidth="1"/>
    <col min="2861" max="2861" width="7.7109375" style="390" customWidth="1"/>
    <col min="2862" max="2862" width="0" style="390" hidden="1" customWidth="1"/>
    <col min="2863" max="2863" width="8.140625" style="390" customWidth="1"/>
    <col min="2864" max="2864" width="9.85546875" style="390" customWidth="1"/>
    <col min="2865" max="2865" width="12" style="390" customWidth="1"/>
    <col min="2866" max="2866" width="0" style="390" hidden="1" customWidth="1"/>
    <col min="2867" max="2867" width="3.140625" style="390" customWidth="1"/>
    <col min="2868" max="2869" width="0" style="390" hidden="1" customWidth="1"/>
    <col min="2870" max="2870" width="3.140625" style="390" customWidth="1"/>
    <col min="2871" max="2874" width="0" style="390" hidden="1" customWidth="1"/>
    <col min="2875" max="2875" width="4.5703125" style="390" customWidth="1"/>
    <col min="2876" max="2876" width="8.7109375" style="390" customWidth="1"/>
    <col min="2877" max="2879" width="0" style="390" hidden="1" customWidth="1"/>
    <col min="2880" max="2885" width="4.5703125" style="390" customWidth="1"/>
    <col min="2886" max="2888" width="0" style="390" hidden="1" customWidth="1"/>
    <col min="2889" max="2889" width="30" style="390" customWidth="1"/>
    <col min="2890" max="2970" width="0" style="390" hidden="1" customWidth="1"/>
    <col min="2971" max="2971" width="15.7109375" style="390"/>
    <col min="2972" max="2976" width="0" style="390" hidden="1" customWidth="1"/>
    <col min="2977" max="3072" width="15.7109375" style="390"/>
    <col min="3073" max="3073" width="5.85546875" style="390" customWidth="1"/>
    <col min="3074" max="3074" width="1.85546875" style="390" customWidth="1"/>
    <col min="3075" max="3075" width="3.140625" style="390" customWidth="1"/>
    <col min="3076" max="3076" width="1.7109375" style="390" customWidth="1"/>
    <col min="3077" max="3077" width="4.7109375" style="390" customWidth="1"/>
    <col min="3078" max="3078" width="0.7109375" style="390" customWidth="1"/>
    <col min="3079" max="3079" width="3.85546875" style="390" customWidth="1"/>
    <col min="3080" max="3080" width="1.7109375" style="390" customWidth="1"/>
    <col min="3081" max="3081" width="7" style="390" customWidth="1"/>
    <col min="3082" max="3082" width="5.140625" style="390" customWidth="1"/>
    <col min="3083" max="3083" width="0" style="390" hidden="1" customWidth="1"/>
    <col min="3084" max="3084" width="17.85546875" style="390" customWidth="1"/>
    <col min="3085" max="3085" width="21.85546875" style="390" customWidth="1"/>
    <col min="3086" max="3086" width="0" style="390" hidden="1" customWidth="1"/>
    <col min="3087" max="3087" width="10.7109375" style="390" customWidth="1"/>
    <col min="3088" max="3099" width="0" style="390" hidden="1" customWidth="1"/>
    <col min="3100" max="3100" width="11.5703125" style="390" customWidth="1"/>
    <col min="3101" max="3104" width="0" style="390" hidden="1" customWidth="1"/>
    <col min="3105" max="3105" width="5" style="390" customWidth="1"/>
    <col min="3106" max="3106" width="5.85546875" style="390" customWidth="1"/>
    <col min="3107" max="3107" width="0" style="390" hidden="1" customWidth="1"/>
    <col min="3108" max="3108" width="5.85546875" style="390" customWidth="1"/>
    <col min="3109" max="3110" width="0" style="390" hidden="1" customWidth="1"/>
    <col min="3111" max="3111" width="11.5703125" style="390" customWidth="1"/>
    <col min="3112" max="3112" width="21.7109375" style="390" customWidth="1"/>
    <col min="3113" max="3113" width="17.28515625" style="390" customWidth="1"/>
    <col min="3114" max="3114" width="0" style="390" hidden="1" customWidth="1"/>
    <col min="3115" max="3115" width="16" style="390" customWidth="1"/>
    <col min="3116" max="3116" width="17.85546875" style="390" customWidth="1"/>
    <col min="3117" max="3117" width="7.7109375" style="390" customWidth="1"/>
    <col min="3118" max="3118" width="0" style="390" hidden="1" customWidth="1"/>
    <col min="3119" max="3119" width="8.140625" style="390" customWidth="1"/>
    <col min="3120" max="3120" width="9.85546875" style="390" customWidth="1"/>
    <col min="3121" max="3121" width="12" style="390" customWidth="1"/>
    <col min="3122" max="3122" width="0" style="390" hidden="1" customWidth="1"/>
    <col min="3123" max="3123" width="3.140625" style="390" customWidth="1"/>
    <col min="3124" max="3125" width="0" style="390" hidden="1" customWidth="1"/>
    <col min="3126" max="3126" width="3.140625" style="390" customWidth="1"/>
    <col min="3127" max="3130" width="0" style="390" hidden="1" customWidth="1"/>
    <col min="3131" max="3131" width="4.5703125" style="390" customWidth="1"/>
    <col min="3132" max="3132" width="8.7109375" style="390" customWidth="1"/>
    <col min="3133" max="3135" width="0" style="390" hidden="1" customWidth="1"/>
    <col min="3136" max="3141" width="4.5703125" style="390" customWidth="1"/>
    <col min="3142" max="3144" width="0" style="390" hidden="1" customWidth="1"/>
    <col min="3145" max="3145" width="30" style="390" customWidth="1"/>
    <col min="3146" max="3226" width="0" style="390" hidden="1" customWidth="1"/>
    <col min="3227" max="3227" width="15.7109375" style="390"/>
    <col min="3228" max="3232" width="0" style="390" hidden="1" customWidth="1"/>
    <col min="3233" max="3328" width="15.7109375" style="390"/>
    <col min="3329" max="3329" width="5.85546875" style="390" customWidth="1"/>
    <col min="3330" max="3330" width="1.85546875" style="390" customWidth="1"/>
    <col min="3331" max="3331" width="3.140625" style="390" customWidth="1"/>
    <col min="3332" max="3332" width="1.7109375" style="390" customWidth="1"/>
    <col min="3333" max="3333" width="4.7109375" style="390" customWidth="1"/>
    <col min="3334" max="3334" width="0.7109375" style="390" customWidth="1"/>
    <col min="3335" max="3335" width="3.85546875" style="390" customWidth="1"/>
    <col min="3336" max="3336" width="1.7109375" style="390" customWidth="1"/>
    <col min="3337" max="3337" width="7" style="390" customWidth="1"/>
    <col min="3338" max="3338" width="5.140625" style="390" customWidth="1"/>
    <col min="3339" max="3339" width="0" style="390" hidden="1" customWidth="1"/>
    <col min="3340" max="3340" width="17.85546875" style="390" customWidth="1"/>
    <col min="3341" max="3341" width="21.85546875" style="390" customWidth="1"/>
    <col min="3342" max="3342" width="0" style="390" hidden="1" customWidth="1"/>
    <col min="3343" max="3343" width="10.7109375" style="390" customWidth="1"/>
    <col min="3344" max="3355" width="0" style="390" hidden="1" customWidth="1"/>
    <col min="3356" max="3356" width="11.5703125" style="390" customWidth="1"/>
    <col min="3357" max="3360" width="0" style="390" hidden="1" customWidth="1"/>
    <col min="3361" max="3361" width="5" style="390" customWidth="1"/>
    <col min="3362" max="3362" width="5.85546875" style="390" customWidth="1"/>
    <col min="3363" max="3363" width="0" style="390" hidden="1" customWidth="1"/>
    <col min="3364" max="3364" width="5.85546875" style="390" customWidth="1"/>
    <col min="3365" max="3366" width="0" style="390" hidden="1" customWidth="1"/>
    <col min="3367" max="3367" width="11.5703125" style="390" customWidth="1"/>
    <col min="3368" max="3368" width="21.7109375" style="390" customWidth="1"/>
    <col min="3369" max="3369" width="17.28515625" style="390" customWidth="1"/>
    <col min="3370" max="3370" width="0" style="390" hidden="1" customWidth="1"/>
    <col min="3371" max="3371" width="16" style="390" customWidth="1"/>
    <col min="3372" max="3372" width="17.85546875" style="390" customWidth="1"/>
    <col min="3373" max="3373" width="7.7109375" style="390" customWidth="1"/>
    <col min="3374" max="3374" width="0" style="390" hidden="1" customWidth="1"/>
    <col min="3375" max="3375" width="8.140625" style="390" customWidth="1"/>
    <col min="3376" max="3376" width="9.85546875" style="390" customWidth="1"/>
    <col min="3377" max="3377" width="12" style="390" customWidth="1"/>
    <col min="3378" max="3378" width="0" style="390" hidden="1" customWidth="1"/>
    <col min="3379" max="3379" width="3.140625" style="390" customWidth="1"/>
    <col min="3380" max="3381" width="0" style="390" hidden="1" customWidth="1"/>
    <col min="3382" max="3382" width="3.140625" style="390" customWidth="1"/>
    <col min="3383" max="3386" width="0" style="390" hidden="1" customWidth="1"/>
    <col min="3387" max="3387" width="4.5703125" style="390" customWidth="1"/>
    <col min="3388" max="3388" width="8.7109375" style="390" customWidth="1"/>
    <col min="3389" max="3391" width="0" style="390" hidden="1" customWidth="1"/>
    <col min="3392" max="3397" width="4.5703125" style="390" customWidth="1"/>
    <col min="3398" max="3400" width="0" style="390" hidden="1" customWidth="1"/>
    <col min="3401" max="3401" width="30" style="390" customWidth="1"/>
    <col min="3402" max="3482" width="0" style="390" hidden="1" customWidth="1"/>
    <col min="3483" max="3483" width="15.7109375" style="390"/>
    <col min="3484" max="3488" width="0" style="390" hidden="1" customWidth="1"/>
    <col min="3489" max="3584" width="15.7109375" style="390"/>
    <col min="3585" max="3585" width="5.85546875" style="390" customWidth="1"/>
    <col min="3586" max="3586" width="1.85546875" style="390" customWidth="1"/>
    <col min="3587" max="3587" width="3.140625" style="390" customWidth="1"/>
    <col min="3588" max="3588" width="1.7109375" style="390" customWidth="1"/>
    <col min="3589" max="3589" width="4.7109375" style="390" customWidth="1"/>
    <col min="3590" max="3590" width="0.7109375" style="390" customWidth="1"/>
    <col min="3591" max="3591" width="3.85546875" style="390" customWidth="1"/>
    <col min="3592" max="3592" width="1.7109375" style="390" customWidth="1"/>
    <col min="3593" max="3593" width="7" style="390" customWidth="1"/>
    <col min="3594" max="3594" width="5.140625" style="390" customWidth="1"/>
    <col min="3595" max="3595" width="0" style="390" hidden="1" customWidth="1"/>
    <col min="3596" max="3596" width="17.85546875" style="390" customWidth="1"/>
    <col min="3597" max="3597" width="21.85546875" style="390" customWidth="1"/>
    <col min="3598" max="3598" width="0" style="390" hidden="1" customWidth="1"/>
    <col min="3599" max="3599" width="10.7109375" style="390" customWidth="1"/>
    <col min="3600" max="3611" width="0" style="390" hidden="1" customWidth="1"/>
    <col min="3612" max="3612" width="11.5703125" style="390" customWidth="1"/>
    <col min="3613" max="3616" width="0" style="390" hidden="1" customWidth="1"/>
    <col min="3617" max="3617" width="5" style="390" customWidth="1"/>
    <col min="3618" max="3618" width="5.85546875" style="390" customWidth="1"/>
    <col min="3619" max="3619" width="0" style="390" hidden="1" customWidth="1"/>
    <col min="3620" max="3620" width="5.85546875" style="390" customWidth="1"/>
    <col min="3621" max="3622" width="0" style="390" hidden="1" customWidth="1"/>
    <col min="3623" max="3623" width="11.5703125" style="390" customWidth="1"/>
    <col min="3624" max="3624" width="21.7109375" style="390" customWidth="1"/>
    <col min="3625" max="3625" width="17.28515625" style="390" customWidth="1"/>
    <col min="3626" max="3626" width="0" style="390" hidden="1" customWidth="1"/>
    <col min="3627" max="3627" width="16" style="390" customWidth="1"/>
    <col min="3628" max="3628" width="17.85546875" style="390" customWidth="1"/>
    <col min="3629" max="3629" width="7.7109375" style="390" customWidth="1"/>
    <col min="3630" max="3630" width="0" style="390" hidden="1" customWidth="1"/>
    <col min="3631" max="3631" width="8.140625" style="390" customWidth="1"/>
    <col min="3632" max="3632" width="9.85546875" style="390" customWidth="1"/>
    <col min="3633" max="3633" width="12" style="390" customWidth="1"/>
    <col min="3634" max="3634" width="0" style="390" hidden="1" customWidth="1"/>
    <col min="3635" max="3635" width="3.140625" style="390" customWidth="1"/>
    <col min="3636" max="3637" width="0" style="390" hidden="1" customWidth="1"/>
    <col min="3638" max="3638" width="3.140625" style="390" customWidth="1"/>
    <col min="3639" max="3642" width="0" style="390" hidden="1" customWidth="1"/>
    <col min="3643" max="3643" width="4.5703125" style="390" customWidth="1"/>
    <col min="3644" max="3644" width="8.7109375" style="390" customWidth="1"/>
    <col min="3645" max="3647" width="0" style="390" hidden="1" customWidth="1"/>
    <col min="3648" max="3653" width="4.5703125" style="390" customWidth="1"/>
    <col min="3654" max="3656" width="0" style="390" hidden="1" customWidth="1"/>
    <col min="3657" max="3657" width="30" style="390" customWidth="1"/>
    <col min="3658" max="3738" width="0" style="390" hidden="1" customWidth="1"/>
    <col min="3739" max="3739" width="15.7109375" style="390"/>
    <col min="3740" max="3744" width="0" style="390" hidden="1" customWidth="1"/>
    <col min="3745" max="3840" width="15.7109375" style="390"/>
    <col min="3841" max="3841" width="5.85546875" style="390" customWidth="1"/>
    <col min="3842" max="3842" width="1.85546875" style="390" customWidth="1"/>
    <col min="3843" max="3843" width="3.140625" style="390" customWidth="1"/>
    <col min="3844" max="3844" width="1.7109375" style="390" customWidth="1"/>
    <col min="3845" max="3845" width="4.7109375" style="390" customWidth="1"/>
    <col min="3846" max="3846" width="0.7109375" style="390" customWidth="1"/>
    <col min="3847" max="3847" width="3.85546875" style="390" customWidth="1"/>
    <col min="3848" max="3848" width="1.7109375" style="390" customWidth="1"/>
    <col min="3849" max="3849" width="7" style="390" customWidth="1"/>
    <col min="3850" max="3850" width="5.140625" style="390" customWidth="1"/>
    <col min="3851" max="3851" width="0" style="390" hidden="1" customWidth="1"/>
    <col min="3852" max="3852" width="17.85546875" style="390" customWidth="1"/>
    <col min="3853" max="3853" width="21.85546875" style="390" customWidth="1"/>
    <col min="3854" max="3854" width="0" style="390" hidden="1" customWidth="1"/>
    <col min="3855" max="3855" width="10.7109375" style="390" customWidth="1"/>
    <col min="3856" max="3867" width="0" style="390" hidden="1" customWidth="1"/>
    <col min="3868" max="3868" width="11.5703125" style="390" customWidth="1"/>
    <col min="3869" max="3872" width="0" style="390" hidden="1" customWidth="1"/>
    <col min="3873" max="3873" width="5" style="390" customWidth="1"/>
    <col min="3874" max="3874" width="5.85546875" style="390" customWidth="1"/>
    <col min="3875" max="3875" width="0" style="390" hidden="1" customWidth="1"/>
    <col min="3876" max="3876" width="5.85546875" style="390" customWidth="1"/>
    <col min="3877" max="3878" width="0" style="390" hidden="1" customWidth="1"/>
    <col min="3879" max="3879" width="11.5703125" style="390" customWidth="1"/>
    <col min="3880" max="3880" width="21.7109375" style="390" customWidth="1"/>
    <col min="3881" max="3881" width="17.28515625" style="390" customWidth="1"/>
    <col min="3882" max="3882" width="0" style="390" hidden="1" customWidth="1"/>
    <col min="3883" max="3883" width="16" style="390" customWidth="1"/>
    <col min="3884" max="3884" width="17.85546875" style="390" customWidth="1"/>
    <col min="3885" max="3885" width="7.7109375" style="390" customWidth="1"/>
    <col min="3886" max="3886" width="0" style="390" hidden="1" customWidth="1"/>
    <col min="3887" max="3887" width="8.140625" style="390" customWidth="1"/>
    <col min="3888" max="3888" width="9.85546875" style="390" customWidth="1"/>
    <col min="3889" max="3889" width="12" style="390" customWidth="1"/>
    <col min="3890" max="3890" width="0" style="390" hidden="1" customWidth="1"/>
    <col min="3891" max="3891" width="3.140625" style="390" customWidth="1"/>
    <col min="3892" max="3893" width="0" style="390" hidden="1" customWidth="1"/>
    <col min="3894" max="3894" width="3.140625" style="390" customWidth="1"/>
    <col min="3895" max="3898" width="0" style="390" hidden="1" customWidth="1"/>
    <col min="3899" max="3899" width="4.5703125" style="390" customWidth="1"/>
    <col min="3900" max="3900" width="8.7109375" style="390" customWidth="1"/>
    <col min="3901" max="3903" width="0" style="390" hidden="1" customWidth="1"/>
    <col min="3904" max="3909" width="4.5703125" style="390" customWidth="1"/>
    <col min="3910" max="3912" width="0" style="390" hidden="1" customWidth="1"/>
    <col min="3913" max="3913" width="30" style="390" customWidth="1"/>
    <col min="3914" max="3994" width="0" style="390" hidden="1" customWidth="1"/>
    <col min="3995" max="3995" width="15.7109375" style="390"/>
    <col min="3996" max="4000" width="0" style="390" hidden="1" customWidth="1"/>
    <col min="4001" max="4096" width="15.7109375" style="390"/>
    <col min="4097" max="4097" width="5.85546875" style="390" customWidth="1"/>
    <col min="4098" max="4098" width="1.85546875" style="390" customWidth="1"/>
    <col min="4099" max="4099" width="3.140625" style="390" customWidth="1"/>
    <col min="4100" max="4100" width="1.7109375" style="390" customWidth="1"/>
    <col min="4101" max="4101" width="4.7109375" style="390" customWidth="1"/>
    <col min="4102" max="4102" width="0.7109375" style="390" customWidth="1"/>
    <col min="4103" max="4103" width="3.85546875" style="390" customWidth="1"/>
    <col min="4104" max="4104" width="1.7109375" style="390" customWidth="1"/>
    <col min="4105" max="4105" width="7" style="390" customWidth="1"/>
    <col min="4106" max="4106" width="5.140625" style="390" customWidth="1"/>
    <col min="4107" max="4107" width="0" style="390" hidden="1" customWidth="1"/>
    <col min="4108" max="4108" width="17.85546875" style="390" customWidth="1"/>
    <col min="4109" max="4109" width="21.85546875" style="390" customWidth="1"/>
    <col min="4110" max="4110" width="0" style="390" hidden="1" customWidth="1"/>
    <col min="4111" max="4111" width="10.7109375" style="390" customWidth="1"/>
    <col min="4112" max="4123" width="0" style="390" hidden="1" customWidth="1"/>
    <col min="4124" max="4124" width="11.5703125" style="390" customWidth="1"/>
    <col min="4125" max="4128" width="0" style="390" hidden="1" customWidth="1"/>
    <col min="4129" max="4129" width="5" style="390" customWidth="1"/>
    <col min="4130" max="4130" width="5.85546875" style="390" customWidth="1"/>
    <col min="4131" max="4131" width="0" style="390" hidden="1" customWidth="1"/>
    <col min="4132" max="4132" width="5.85546875" style="390" customWidth="1"/>
    <col min="4133" max="4134" width="0" style="390" hidden="1" customWidth="1"/>
    <col min="4135" max="4135" width="11.5703125" style="390" customWidth="1"/>
    <col min="4136" max="4136" width="21.7109375" style="390" customWidth="1"/>
    <col min="4137" max="4137" width="17.28515625" style="390" customWidth="1"/>
    <col min="4138" max="4138" width="0" style="390" hidden="1" customWidth="1"/>
    <col min="4139" max="4139" width="16" style="390" customWidth="1"/>
    <col min="4140" max="4140" width="17.85546875" style="390" customWidth="1"/>
    <col min="4141" max="4141" width="7.7109375" style="390" customWidth="1"/>
    <col min="4142" max="4142" width="0" style="390" hidden="1" customWidth="1"/>
    <col min="4143" max="4143" width="8.140625" style="390" customWidth="1"/>
    <col min="4144" max="4144" width="9.85546875" style="390" customWidth="1"/>
    <col min="4145" max="4145" width="12" style="390" customWidth="1"/>
    <col min="4146" max="4146" width="0" style="390" hidden="1" customWidth="1"/>
    <col min="4147" max="4147" width="3.140625" style="390" customWidth="1"/>
    <col min="4148" max="4149" width="0" style="390" hidden="1" customWidth="1"/>
    <col min="4150" max="4150" width="3.140625" style="390" customWidth="1"/>
    <col min="4151" max="4154" width="0" style="390" hidden="1" customWidth="1"/>
    <col min="4155" max="4155" width="4.5703125" style="390" customWidth="1"/>
    <col min="4156" max="4156" width="8.7109375" style="390" customWidth="1"/>
    <col min="4157" max="4159" width="0" style="390" hidden="1" customWidth="1"/>
    <col min="4160" max="4165" width="4.5703125" style="390" customWidth="1"/>
    <col min="4166" max="4168" width="0" style="390" hidden="1" customWidth="1"/>
    <col min="4169" max="4169" width="30" style="390" customWidth="1"/>
    <col min="4170" max="4250" width="0" style="390" hidden="1" customWidth="1"/>
    <col min="4251" max="4251" width="15.7109375" style="390"/>
    <col min="4252" max="4256" width="0" style="390" hidden="1" customWidth="1"/>
    <col min="4257" max="4352" width="15.7109375" style="390"/>
    <col min="4353" max="4353" width="5.85546875" style="390" customWidth="1"/>
    <col min="4354" max="4354" width="1.85546875" style="390" customWidth="1"/>
    <col min="4355" max="4355" width="3.140625" style="390" customWidth="1"/>
    <col min="4356" max="4356" width="1.7109375" style="390" customWidth="1"/>
    <col min="4357" max="4357" width="4.7109375" style="390" customWidth="1"/>
    <col min="4358" max="4358" width="0.7109375" style="390" customWidth="1"/>
    <col min="4359" max="4359" width="3.85546875" style="390" customWidth="1"/>
    <col min="4360" max="4360" width="1.7109375" style="390" customWidth="1"/>
    <col min="4361" max="4361" width="7" style="390" customWidth="1"/>
    <col min="4362" max="4362" width="5.140625" style="390" customWidth="1"/>
    <col min="4363" max="4363" width="0" style="390" hidden="1" customWidth="1"/>
    <col min="4364" max="4364" width="17.85546875" style="390" customWidth="1"/>
    <col min="4365" max="4365" width="21.85546875" style="390" customWidth="1"/>
    <col min="4366" max="4366" width="0" style="390" hidden="1" customWidth="1"/>
    <col min="4367" max="4367" width="10.7109375" style="390" customWidth="1"/>
    <col min="4368" max="4379" width="0" style="390" hidden="1" customWidth="1"/>
    <col min="4380" max="4380" width="11.5703125" style="390" customWidth="1"/>
    <col min="4381" max="4384" width="0" style="390" hidden="1" customWidth="1"/>
    <col min="4385" max="4385" width="5" style="390" customWidth="1"/>
    <col min="4386" max="4386" width="5.85546875" style="390" customWidth="1"/>
    <col min="4387" max="4387" width="0" style="390" hidden="1" customWidth="1"/>
    <col min="4388" max="4388" width="5.85546875" style="390" customWidth="1"/>
    <col min="4389" max="4390" width="0" style="390" hidden="1" customWidth="1"/>
    <col min="4391" max="4391" width="11.5703125" style="390" customWidth="1"/>
    <col min="4392" max="4392" width="21.7109375" style="390" customWidth="1"/>
    <col min="4393" max="4393" width="17.28515625" style="390" customWidth="1"/>
    <col min="4394" max="4394" width="0" style="390" hidden="1" customWidth="1"/>
    <col min="4395" max="4395" width="16" style="390" customWidth="1"/>
    <col min="4396" max="4396" width="17.85546875" style="390" customWidth="1"/>
    <col min="4397" max="4397" width="7.7109375" style="390" customWidth="1"/>
    <col min="4398" max="4398" width="0" style="390" hidden="1" customWidth="1"/>
    <col min="4399" max="4399" width="8.140625" style="390" customWidth="1"/>
    <col min="4400" max="4400" width="9.85546875" style="390" customWidth="1"/>
    <col min="4401" max="4401" width="12" style="390" customWidth="1"/>
    <col min="4402" max="4402" width="0" style="390" hidden="1" customWidth="1"/>
    <col min="4403" max="4403" width="3.140625" style="390" customWidth="1"/>
    <col min="4404" max="4405" width="0" style="390" hidden="1" customWidth="1"/>
    <col min="4406" max="4406" width="3.140625" style="390" customWidth="1"/>
    <col min="4407" max="4410" width="0" style="390" hidden="1" customWidth="1"/>
    <col min="4411" max="4411" width="4.5703125" style="390" customWidth="1"/>
    <col min="4412" max="4412" width="8.7109375" style="390" customWidth="1"/>
    <col min="4413" max="4415" width="0" style="390" hidden="1" customWidth="1"/>
    <col min="4416" max="4421" width="4.5703125" style="390" customWidth="1"/>
    <col min="4422" max="4424" width="0" style="390" hidden="1" customWidth="1"/>
    <col min="4425" max="4425" width="30" style="390" customWidth="1"/>
    <col min="4426" max="4506" width="0" style="390" hidden="1" customWidth="1"/>
    <col min="4507" max="4507" width="15.7109375" style="390"/>
    <col min="4508" max="4512" width="0" style="390" hidden="1" customWidth="1"/>
    <col min="4513" max="4608" width="15.7109375" style="390"/>
    <col min="4609" max="4609" width="5.85546875" style="390" customWidth="1"/>
    <col min="4610" max="4610" width="1.85546875" style="390" customWidth="1"/>
    <col min="4611" max="4611" width="3.140625" style="390" customWidth="1"/>
    <col min="4612" max="4612" width="1.7109375" style="390" customWidth="1"/>
    <col min="4613" max="4613" width="4.7109375" style="390" customWidth="1"/>
    <col min="4614" max="4614" width="0.7109375" style="390" customWidth="1"/>
    <col min="4615" max="4615" width="3.85546875" style="390" customWidth="1"/>
    <col min="4616" max="4616" width="1.7109375" style="390" customWidth="1"/>
    <col min="4617" max="4617" width="7" style="390" customWidth="1"/>
    <col min="4618" max="4618" width="5.140625" style="390" customWidth="1"/>
    <col min="4619" max="4619" width="0" style="390" hidden="1" customWidth="1"/>
    <col min="4620" max="4620" width="17.85546875" style="390" customWidth="1"/>
    <col min="4621" max="4621" width="21.85546875" style="390" customWidth="1"/>
    <col min="4622" max="4622" width="0" style="390" hidden="1" customWidth="1"/>
    <col min="4623" max="4623" width="10.7109375" style="390" customWidth="1"/>
    <col min="4624" max="4635" width="0" style="390" hidden="1" customWidth="1"/>
    <col min="4636" max="4636" width="11.5703125" style="390" customWidth="1"/>
    <col min="4637" max="4640" width="0" style="390" hidden="1" customWidth="1"/>
    <col min="4641" max="4641" width="5" style="390" customWidth="1"/>
    <col min="4642" max="4642" width="5.85546875" style="390" customWidth="1"/>
    <col min="4643" max="4643" width="0" style="390" hidden="1" customWidth="1"/>
    <col min="4644" max="4644" width="5.85546875" style="390" customWidth="1"/>
    <col min="4645" max="4646" width="0" style="390" hidden="1" customWidth="1"/>
    <col min="4647" max="4647" width="11.5703125" style="390" customWidth="1"/>
    <col min="4648" max="4648" width="21.7109375" style="390" customWidth="1"/>
    <col min="4649" max="4649" width="17.28515625" style="390" customWidth="1"/>
    <col min="4650" max="4650" width="0" style="390" hidden="1" customWidth="1"/>
    <col min="4651" max="4651" width="16" style="390" customWidth="1"/>
    <col min="4652" max="4652" width="17.85546875" style="390" customWidth="1"/>
    <col min="4653" max="4653" width="7.7109375" style="390" customWidth="1"/>
    <col min="4654" max="4654" width="0" style="390" hidden="1" customWidth="1"/>
    <col min="4655" max="4655" width="8.140625" style="390" customWidth="1"/>
    <col min="4656" max="4656" width="9.85546875" style="390" customWidth="1"/>
    <col min="4657" max="4657" width="12" style="390" customWidth="1"/>
    <col min="4658" max="4658" width="0" style="390" hidden="1" customWidth="1"/>
    <col min="4659" max="4659" width="3.140625" style="390" customWidth="1"/>
    <col min="4660" max="4661" width="0" style="390" hidden="1" customWidth="1"/>
    <col min="4662" max="4662" width="3.140625" style="390" customWidth="1"/>
    <col min="4663" max="4666" width="0" style="390" hidden="1" customWidth="1"/>
    <col min="4667" max="4667" width="4.5703125" style="390" customWidth="1"/>
    <col min="4668" max="4668" width="8.7109375" style="390" customWidth="1"/>
    <col min="4669" max="4671" width="0" style="390" hidden="1" customWidth="1"/>
    <col min="4672" max="4677" width="4.5703125" style="390" customWidth="1"/>
    <col min="4678" max="4680" width="0" style="390" hidden="1" customWidth="1"/>
    <col min="4681" max="4681" width="30" style="390" customWidth="1"/>
    <col min="4682" max="4762" width="0" style="390" hidden="1" customWidth="1"/>
    <col min="4763" max="4763" width="15.7109375" style="390"/>
    <col min="4764" max="4768" width="0" style="390" hidden="1" customWidth="1"/>
    <col min="4769" max="4864" width="15.7109375" style="390"/>
    <col min="4865" max="4865" width="5.85546875" style="390" customWidth="1"/>
    <col min="4866" max="4866" width="1.85546875" style="390" customWidth="1"/>
    <col min="4867" max="4867" width="3.140625" style="390" customWidth="1"/>
    <col min="4868" max="4868" width="1.7109375" style="390" customWidth="1"/>
    <col min="4869" max="4869" width="4.7109375" style="390" customWidth="1"/>
    <col min="4870" max="4870" width="0.7109375" style="390" customWidth="1"/>
    <col min="4871" max="4871" width="3.85546875" style="390" customWidth="1"/>
    <col min="4872" max="4872" width="1.7109375" style="390" customWidth="1"/>
    <col min="4873" max="4873" width="7" style="390" customWidth="1"/>
    <col min="4874" max="4874" width="5.140625" style="390" customWidth="1"/>
    <col min="4875" max="4875" width="0" style="390" hidden="1" customWidth="1"/>
    <col min="4876" max="4876" width="17.85546875" style="390" customWidth="1"/>
    <col min="4877" max="4877" width="21.85546875" style="390" customWidth="1"/>
    <col min="4878" max="4878" width="0" style="390" hidden="1" customWidth="1"/>
    <col min="4879" max="4879" width="10.7109375" style="390" customWidth="1"/>
    <col min="4880" max="4891" width="0" style="390" hidden="1" customWidth="1"/>
    <col min="4892" max="4892" width="11.5703125" style="390" customWidth="1"/>
    <col min="4893" max="4896" width="0" style="390" hidden="1" customWidth="1"/>
    <col min="4897" max="4897" width="5" style="390" customWidth="1"/>
    <col min="4898" max="4898" width="5.85546875" style="390" customWidth="1"/>
    <col min="4899" max="4899" width="0" style="390" hidden="1" customWidth="1"/>
    <col min="4900" max="4900" width="5.85546875" style="390" customWidth="1"/>
    <col min="4901" max="4902" width="0" style="390" hidden="1" customWidth="1"/>
    <col min="4903" max="4903" width="11.5703125" style="390" customWidth="1"/>
    <col min="4904" max="4904" width="21.7109375" style="390" customWidth="1"/>
    <col min="4905" max="4905" width="17.28515625" style="390" customWidth="1"/>
    <col min="4906" max="4906" width="0" style="390" hidden="1" customWidth="1"/>
    <col min="4907" max="4907" width="16" style="390" customWidth="1"/>
    <col min="4908" max="4908" width="17.85546875" style="390" customWidth="1"/>
    <col min="4909" max="4909" width="7.7109375" style="390" customWidth="1"/>
    <col min="4910" max="4910" width="0" style="390" hidden="1" customWidth="1"/>
    <col min="4911" max="4911" width="8.140625" style="390" customWidth="1"/>
    <col min="4912" max="4912" width="9.85546875" style="390" customWidth="1"/>
    <col min="4913" max="4913" width="12" style="390" customWidth="1"/>
    <col min="4914" max="4914" width="0" style="390" hidden="1" customWidth="1"/>
    <col min="4915" max="4915" width="3.140625" style="390" customWidth="1"/>
    <col min="4916" max="4917" width="0" style="390" hidden="1" customWidth="1"/>
    <col min="4918" max="4918" width="3.140625" style="390" customWidth="1"/>
    <col min="4919" max="4922" width="0" style="390" hidden="1" customWidth="1"/>
    <col min="4923" max="4923" width="4.5703125" style="390" customWidth="1"/>
    <col min="4924" max="4924" width="8.7109375" style="390" customWidth="1"/>
    <col min="4925" max="4927" width="0" style="390" hidden="1" customWidth="1"/>
    <col min="4928" max="4933" width="4.5703125" style="390" customWidth="1"/>
    <col min="4934" max="4936" width="0" style="390" hidden="1" customWidth="1"/>
    <col min="4937" max="4937" width="30" style="390" customWidth="1"/>
    <col min="4938" max="5018" width="0" style="390" hidden="1" customWidth="1"/>
    <col min="5019" max="5019" width="15.7109375" style="390"/>
    <col min="5020" max="5024" width="0" style="390" hidden="1" customWidth="1"/>
    <col min="5025" max="5120" width="15.7109375" style="390"/>
    <col min="5121" max="5121" width="5.85546875" style="390" customWidth="1"/>
    <col min="5122" max="5122" width="1.85546875" style="390" customWidth="1"/>
    <col min="5123" max="5123" width="3.140625" style="390" customWidth="1"/>
    <col min="5124" max="5124" width="1.7109375" style="390" customWidth="1"/>
    <col min="5125" max="5125" width="4.7109375" style="390" customWidth="1"/>
    <col min="5126" max="5126" width="0.7109375" style="390" customWidth="1"/>
    <col min="5127" max="5127" width="3.85546875" style="390" customWidth="1"/>
    <col min="5128" max="5128" width="1.7109375" style="390" customWidth="1"/>
    <col min="5129" max="5129" width="7" style="390" customWidth="1"/>
    <col min="5130" max="5130" width="5.140625" style="390" customWidth="1"/>
    <col min="5131" max="5131" width="0" style="390" hidden="1" customWidth="1"/>
    <col min="5132" max="5132" width="17.85546875" style="390" customWidth="1"/>
    <col min="5133" max="5133" width="21.85546875" style="390" customWidth="1"/>
    <col min="5134" max="5134" width="0" style="390" hidden="1" customWidth="1"/>
    <col min="5135" max="5135" width="10.7109375" style="390" customWidth="1"/>
    <col min="5136" max="5147" width="0" style="390" hidden="1" customWidth="1"/>
    <col min="5148" max="5148" width="11.5703125" style="390" customWidth="1"/>
    <col min="5149" max="5152" width="0" style="390" hidden="1" customWidth="1"/>
    <col min="5153" max="5153" width="5" style="390" customWidth="1"/>
    <col min="5154" max="5154" width="5.85546875" style="390" customWidth="1"/>
    <col min="5155" max="5155" width="0" style="390" hidden="1" customWidth="1"/>
    <col min="5156" max="5156" width="5.85546875" style="390" customWidth="1"/>
    <col min="5157" max="5158" width="0" style="390" hidden="1" customWidth="1"/>
    <col min="5159" max="5159" width="11.5703125" style="390" customWidth="1"/>
    <col min="5160" max="5160" width="21.7109375" style="390" customWidth="1"/>
    <col min="5161" max="5161" width="17.28515625" style="390" customWidth="1"/>
    <col min="5162" max="5162" width="0" style="390" hidden="1" customWidth="1"/>
    <col min="5163" max="5163" width="16" style="390" customWidth="1"/>
    <col min="5164" max="5164" width="17.85546875" style="390" customWidth="1"/>
    <col min="5165" max="5165" width="7.7109375" style="390" customWidth="1"/>
    <col min="5166" max="5166" width="0" style="390" hidden="1" customWidth="1"/>
    <col min="5167" max="5167" width="8.140625" style="390" customWidth="1"/>
    <col min="5168" max="5168" width="9.85546875" style="390" customWidth="1"/>
    <col min="5169" max="5169" width="12" style="390" customWidth="1"/>
    <col min="5170" max="5170" width="0" style="390" hidden="1" customWidth="1"/>
    <col min="5171" max="5171" width="3.140625" style="390" customWidth="1"/>
    <col min="5172" max="5173" width="0" style="390" hidden="1" customWidth="1"/>
    <col min="5174" max="5174" width="3.140625" style="390" customWidth="1"/>
    <col min="5175" max="5178" width="0" style="390" hidden="1" customWidth="1"/>
    <col min="5179" max="5179" width="4.5703125" style="390" customWidth="1"/>
    <col min="5180" max="5180" width="8.7109375" style="390" customWidth="1"/>
    <col min="5181" max="5183" width="0" style="390" hidden="1" customWidth="1"/>
    <col min="5184" max="5189" width="4.5703125" style="390" customWidth="1"/>
    <col min="5190" max="5192" width="0" style="390" hidden="1" customWidth="1"/>
    <col min="5193" max="5193" width="30" style="390" customWidth="1"/>
    <col min="5194" max="5274" width="0" style="390" hidden="1" customWidth="1"/>
    <col min="5275" max="5275" width="15.7109375" style="390"/>
    <col min="5276" max="5280" width="0" style="390" hidden="1" customWidth="1"/>
    <col min="5281" max="5376" width="15.7109375" style="390"/>
    <col min="5377" max="5377" width="5.85546875" style="390" customWidth="1"/>
    <col min="5378" max="5378" width="1.85546875" style="390" customWidth="1"/>
    <col min="5379" max="5379" width="3.140625" style="390" customWidth="1"/>
    <col min="5380" max="5380" width="1.7109375" style="390" customWidth="1"/>
    <col min="5381" max="5381" width="4.7109375" style="390" customWidth="1"/>
    <col min="5382" max="5382" width="0.7109375" style="390" customWidth="1"/>
    <col min="5383" max="5383" width="3.85546875" style="390" customWidth="1"/>
    <col min="5384" max="5384" width="1.7109375" style="390" customWidth="1"/>
    <col min="5385" max="5385" width="7" style="390" customWidth="1"/>
    <col min="5386" max="5386" width="5.140625" style="390" customWidth="1"/>
    <col min="5387" max="5387" width="0" style="390" hidden="1" customWidth="1"/>
    <col min="5388" max="5388" width="17.85546875" style="390" customWidth="1"/>
    <col min="5389" max="5389" width="21.85546875" style="390" customWidth="1"/>
    <col min="5390" max="5390" width="0" style="390" hidden="1" customWidth="1"/>
    <col min="5391" max="5391" width="10.7109375" style="390" customWidth="1"/>
    <col min="5392" max="5403" width="0" style="390" hidden="1" customWidth="1"/>
    <col min="5404" max="5404" width="11.5703125" style="390" customWidth="1"/>
    <col min="5405" max="5408" width="0" style="390" hidden="1" customWidth="1"/>
    <col min="5409" max="5409" width="5" style="390" customWidth="1"/>
    <col min="5410" max="5410" width="5.85546875" style="390" customWidth="1"/>
    <col min="5411" max="5411" width="0" style="390" hidden="1" customWidth="1"/>
    <col min="5412" max="5412" width="5.85546875" style="390" customWidth="1"/>
    <col min="5413" max="5414" width="0" style="390" hidden="1" customWidth="1"/>
    <col min="5415" max="5415" width="11.5703125" style="390" customWidth="1"/>
    <col min="5416" max="5416" width="21.7109375" style="390" customWidth="1"/>
    <col min="5417" max="5417" width="17.28515625" style="390" customWidth="1"/>
    <col min="5418" max="5418" width="0" style="390" hidden="1" customWidth="1"/>
    <col min="5419" max="5419" width="16" style="390" customWidth="1"/>
    <col min="5420" max="5420" width="17.85546875" style="390" customWidth="1"/>
    <col min="5421" max="5421" width="7.7109375" style="390" customWidth="1"/>
    <col min="5422" max="5422" width="0" style="390" hidden="1" customWidth="1"/>
    <col min="5423" max="5423" width="8.140625" style="390" customWidth="1"/>
    <col min="5424" max="5424" width="9.85546875" style="390" customWidth="1"/>
    <col min="5425" max="5425" width="12" style="390" customWidth="1"/>
    <col min="5426" max="5426" width="0" style="390" hidden="1" customWidth="1"/>
    <col min="5427" max="5427" width="3.140625" style="390" customWidth="1"/>
    <col min="5428" max="5429" width="0" style="390" hidden="1" customWidth="1"/>
    <col min="5430" max="5430" width="3.140625" style="390" customWidth="1"/>
    <col min="5431" max="5434" width="0" style="390" hidden="1" customWidth="1"/>
    <col min="5435" max="5435" width="4.5703125" style="390" customWidth="1"/>
    <col min="5436" max="5436" width="8.7109375" style="390" customWidth="1"/>
    <col min="5437" max="5439" width="0" style="390" hidden="1" customWidth="1"/>
    <col min="5440" max="5445" width="4.5703125" style="390" customWidth="1"/>
    <col min="5446" max="5448" width="0" style="390" hidden="1" customWidth="1"/>
    <col min="5449" max="5449" width="30" style="390" customWidth="1"/>
    <col min="5450" max="5530" width="0" style="390" hidden="1" customWidth="1"/>
    <col min="5531" max="5531" width="15.7109375" style="390"/>
    <col min="5532" max="5536" width="0" style="390" hidden="1" customWidth="1"/>
    <col min="5537" max="5632" width="15.7109375" style="390"/>
    <col min="5633" max="5633" width="5.85546875" style="390" customWidth="1"/>
    <col min="5634" max="5634" width="1.85546875" style="390" customWidth="1"/>
    <col min="5635" max="5635" width="3.140625" style="390" customWidth="1"/>
    <col min="5636" max="5636" width="1.7109375" style="390" customWidth="1"/>
    <col min="5637" max="5637" width="4.7109375" style="390" customWidth="1"/>
    <col min="5638" max="5638" width="0.7109375" style="390" customWidth="1"/>
    <col min="5639" max="5639" width="3.85546875" style="390" customWidth="1"/>
    <col min="5640" max="5640" width="1.7109375" style="390" customWidth="1"/>
    <col min="5641" max="5641" width="7" style="390" customWidth="1"/>
    <col min="5642" max="5642" width="5.140625" style="390" customWidth="1"/>
    <col min="5643" max="5643" width="0" style="390" hidden="1" customWidth="1"/>
    <col min="5644" max="5644" width="17.85546875" style="390" customWidth="1"/>
    <col min="5645" max="5645" width="21.85546875" style="390" customWidth="1"/>
    <col min="5646" max="5646" width="0" style="390" hidden="1" customWidth="1"/>
    <col min="5647" max="5647" width="10.7109375" style="390" customWidth="1"/>
    <col min="5648" max="5659" width="0" style="390" hidden="1" customWidth="1"/>
    <col min="5660" max="5660" width="11.5703125" style="390" customWidth="1"/>
    <col min="5661" max="5664" width="0" style="390" hidden="1" customWidth="1"/>
    <col min="5665" max="5665" width="5" style="390" customWidth="1"/>
    <col min="5666" max="5666" width="5.85546875" style="390" customWidth="1"/>
    <col min="5667" max="5667" width="0" style="390" hidden="1" customWidth="1"/>
    <col min="5668" max="5668" width="5.85546875" style="390" customWidth="1"/>
    <col min="5669" max="5670" width="0" style="390" hidden="1" customWidth="1"/>
    <col min="5671" max="5671" width="11.5703125" style="390" customWidth="1"/>
    <col min="5672" max="5672" width="21.7109375" style="390" customWidth="1"/>
    <col min="5673" max="5673" width="17.28515625" style="390" customWidth="1"/>
    <col min="5674" max="5674" width="0" style="390" hidden="1" customWidth="1"/>
    <col min="5675" max="5675" width="16" style="390" customWidth="1"/>
    <col min="5676" max="5676" width="17.85546875" style="390" customWidth="1"/>
    <col min="5677" max="5677" width="7.7109375" style="390" customWidth="1"/>
    <col min="5678" max="5678" width="0" style="390" hidden="1" customWidth="1"/>
    <col min="5679" max="5679" width="8.140625" style="390" customWidth="1"/>
    <col min="5680" max="5680" width="9.85546875" style="390" customWidth="1"/>
    <col min="5681" max="5681" width="12" style="390" customWidth="1"/>
    <col min="5682" max="5682" width="0" style="390" hidden="1" customWidth="1"/>
    <col min="5683" max="5683" width="3.140625" style="390" customWidth="1"/>
    <col min="5684" max="5685" width="0" style="390" hidden="1" customWidth="1"/>
    <col min="5686" max="5686" width="3.140625" style="390" customWidth="1"/>
    <col min="5687" max="5690" width="0" style="390" hidden="1" customWidth="1"/>
    <col min="5691" max="5691" width="4.5703125" style="390" customWidth="1"/>
    <col min="5692" max="5692" width="8.7109375" style="390" customWidth="1"/>
    <col min="5693" max="5695" width="0" style="390" hidden="1" customWidth="1"/>
    <col min="5696" max="5701" width="4.5703125" style="390" customWidth="1"/>
    <col min="5702" max="5704" width="0" style="390" hidden="1" customWidth="1"/>
    <col min="5705" max="5705" width="30" style="390" customWidth="1"/>
    <col min="5706" max="5786" width="0" style="390" hidden="1" customWidth="1"/>
    <col min="5787" max="5787" width="15.7109375" style="390"/>
    <col min="5788" max="5792" width="0" style="390" hidden="1" customWidth="1"/>
    <col min="5793" max="5888" width="15.7109375" style="390"/>
    <col min="5889" max="5889" width="5.85546875" style="390" customWidth="1"/>
    <col min="5890" max="5890" width="1.85546875" style="390" customWidth="1"/>
    <col min="5891" max="5891" width="3.140625" style="390" customWidth="1"/>
    <col min="5892" max="5892" width="1.7109375" style="390" customWidth="1"/>
    <col min="5893" max="5893" width="4.7109375" style="390" customWidth="1"/>
    <col min="5894" max="5894" width="0.7109375" style="390" customWidth="1"/>
    <col min="5895" max="5895" width="3.85546875" style="390" customWidth="1"/>
    <col min="5896" max="5896" width="1.7109375" style="390" customWidth="1"/>
    <col min="5897" max="5897" width="7" style="390" customWidth="1"/>
    <col min="5898" max="5898" width="5.140625" style="390" customWidth="1"/>
    <col min="5899" max="5899" width="0" style="390" hidden="1" customWidth="1"/>
    <col min="5900" max="5900" width="17.85546875" style="390" customWidth="1"/>
    <col min="5901" max="5901" width="21.85546875" style="390" customWidth="1"/>
    <col min="5902" max="5902" width="0" style="390" hidden="1" customWidth="1"/>
    <col min="5903" max="5903" width="10.7109375" style="390" customWidth="1"/>
    <col min="5904" max="5915" width="0" style="390" hidden="1" customWidth="1"/>
    <col min="5916" max="5916" width="11.5703125" style="390" customWidth="1"/>
    <col min="5917" max="5920" width="0" style="390" hidden="1" customWidth="1"/>
    <col min="5921" max="5921" width="5" style="390" customWidth="1"/>
    <col min="5922" max="5922" width="5.85546875" style="390" customWidth="1"/>
    <col min="5923" max="5923" width="0" style="390" hidden="1" customWidth="1"/>
    <col min="5924" max="5924" width="5.85546875" style="390" customWidth="1"/>
    <col min="5925" max="5926" width="0" style="390" hidden="1" customWidth="1"/>
    <col min="5927" max="5927" width="11.5703125" style="390" customWidth="1"/>
    <col min="5928" max="5928" width="21.7109375" style="390" customWidth="1"/>
    <col min="5929" max="5929" width="17.28515625" style="390" customWidth="1"/>
    <col min="5930" max="5930" width="0" style="390" hidden="1" customWidth="1"/>
    <col min="5931" max="5931" width="16" style="390" customWidth="1"/>
    <col min="5932" max="5932" width="17.85546875" style="390" customWidth="1"/>
    <col min="5933" max="5933" width="7.7109375" style="390" customWidth="1"/>
    <col min="5934" max="5934" width="0" style="390" hidden="1" customWidth="1"/>
    <col min="5935" max="5935" width="8.140625" style="390" customWidth="1"/>
    <col min="5936" max="5936" width="9.85546875" style="390" customWidth="1"/>
    <col min="5937" max="5937" width="12" style="390" customWidth="1"/>
    <col min="5938" max="5938" width="0" style="390" hidden="1" customWidth="1"/>
    <col min="5939" max="5939" width="3.140625" style="390" customWidth="1"/>
    <col min="5940" max="5941" width="0" style="390" hidden="1" customWidth="1"/>
    <col min="5942" max="5942" width="3.140625" style="390" customWidth="1"/>
    <col min="5943" max="5946" width="0" style="390" hidden="1" customWidth="1"/>
    <col min="5947" max="5947" width="4.5703125" style="390" customWidth="1"/>
    <col min="5948" max="5948" width="8.7109375" style="390" customWidth="1"/>
    <col min="5949" max="5951" width="0" style="390" hidden="1" customWidth="1"/>
    <col min="5952" max="5957" width="4.5703125" style="390" customWidth="1"/>
    <col min="5958" max="5960" width="0" style="390" hidden="1" customWidth="1"/>
    <col min="5961" max="5961" width="30" style="390" customWidth="1"/>
    <col min="5962" max="6042" width="0" style="390" hidden="1" customWidth="1"/>
    <col min="6043" max="6043" width="15.7109375" style="390"/>
    <col min="6044" max="6048" width="0" style="390" hidden="1" customWidth="1"/>
    <col min="6049" max="6144" width="15.7109375" style="390"/>
    <col min="6145" max="6145" width="5.85546875" style="390" customWidth="1"/>
    <col min="6146" max="6146" width="1.85546875" style="390" customWidth="1"/>
    <col min="6147" max="6147" width="3.140625" style="390" customWidth="1"/>
    <col min="6148" max="6148" width="1.7109375" style="390" customWidth="1"/>
    <col min="6149" max="6149" width="4.7109375" style="390" customWidth="1"/>
    <col min="6150" max="6150" width="0.7109375" style="390" customWidth="1"/>
    <col min="6151" max="6151" width="3.85546875" style="390" customWidth="1"/>
    <col min="6152" max="6152" width="1.7109375" style="390" customWidth="1"/>
    <col min="6153" max="6153" width="7" style="390" customWidth="1"/>
    <col min="6154" max="6154" width="5.140625" style="390" customWidth="1"/>
    <col min="6155" max="6155" width="0" style="390" hidden="1" customWidth="1"/>
    <col min="6156" max="6156" width="17.85546875" style="390" customWidth="1"/>
    <col min="6157" max="6157" width="21.85546875" style="390" customWidth="1"/>
    <col min="6158" max="6158" width="0" style="390" hidden="1" customWidth="1"/>
    <col min="6159" max="6159" width="10.7109375" style="390" customWidth="1"/>
    <col min="6160" max="6171" width="0" style="390" hidden="1" customWidth="1"/>
    <col min="6172" max="6172" width="11.5703125" style="390" customWidth="1"/>
    <col min="6173" max="6176" width="0" style="390" hidden="1" customWidth="1"/>
    <col min="6177" max="6177" width="5" style="390" customWidth="1"/>
    <col min="6178" max="6178" width="5.85546875" style="390" customWidth="1"/>
    <col min="6179" max="6179" width="0" style="390" hidden="1" customWidth="1"/>
    <col min="6180" max="6180" width="5.85546875" style="390" customWidth="1"/>
    <col min="6181" max="6182" width="0" style="390" hidden="1" customWidth="1"/>
    <col min="6183" max="6183" width="11.5703125" style="390" customWidth="1"/>
    <col min="6184" max="6184" width="21.7109375" style="390" customWidth="1"/>
    <col min="6185" max="6185" width="17.28515625" style="390" customWidth="1"/>
    <col min="6186" max="6186" width="0" style="390" hidden="1" customWidth="1"/>
    <col min="6187" max="6187" width="16" style="390" customWidth="1"/>
    <col min="6188" max="6188" width="17.85546875" style="390" customWidth="1"/>
    <col min="6189" max="6189" width="7.7109375" style="390" customWidth="1"/>
    <col min="6190" max="6190" width="0" style="390" hidden="1" customWidth="1"/>
    <col min="6191" max="6191" width="8.140625" style="390" customWidth="1"/>
    <col min="6192" max="6192" width="9.85546875" style="390" customWidth="1"/>
    <col min="6193" max="6193" width="12" style="390" customWidth="1"/>
    <col min="6194" max="6194" width="0" style="390" hidden="1" customWidth="1"/>
    <col min="6195" max="6195" width="3.140625" style="390" customWidth="1"/>
    <col min="6196" max="6197" width="0" style="390" hidden="1" customWidth="1"/>
    <col min="6198" max="6198" width="3.140625" style="390" customWidth="1"/>
    <col min="6199" max="6202" width="0" style="390" hidden="1" customWidth="1"/>
    <col min="6203" max="6203" width="4.5703125" style="390" customWidth="1"/>
    <col min="6204" max="6204" width="8.7109375" style="390" customWidth="1"/>
    <col min="6205" max="6207" width="0" style="390" hidden="1" customWidth="1"/>
    <col min="6208" max="6213" width="4.5703125" style="390" customWidth="1"/>
    <col min="6214" max="6216" width="0" style="390" hidden="1" customWidth="1"/>
    <col min="6217" max="6217" width="30" style="390" customWidth="1"/>
    <col min="6218" max="6298" width="0" style="390" hidden="1" customWidth="1"/>
    <col min="6299" max="6299" width="15.7109375" style="390"/>
    <col min="6300" max="6304" width="0" style="390" hidden="1" customWidth="1"/>
    <col min="6305" max="6400" width="15.7109375" style="390"/>
    <col min="6401" max="6401" width="5.85546875" style="390" customWidth="1"/>
    <col min="6402" max="6402" width="1.85546875" style="390" customWidth="1"/>
    <col min="6403" max="6403" width="3.140625" style="390" customWidth="1"/>
    <col min="6404" max="6404" width="1.7109375" style="390" customWidth="1"/>
    <col min="6405" max="6405" width="4.7109375" style="390" customWidth="1"/>
    <col min="6406" max="6406" width="0.7109375" style="390" customWidth="1"/>
    <col min="6407" max="6407" width="3.85546875" style="390" customWidth="1"/>
    <col min="6408" max="6408" width="1.7109375" style="390" customWidth="1"/>
    <col min="6409" max="6409" width="7" style="390" customWidth="1"/>
    <col min="6410" max="6410" width="5.140625" style="390" customWidth="1"/>
    <col min="6411" max="6411" width="0" style="390" hidden="1" customWidth="1"/>
    <col min="6412" max="6412" width="17.85546875" style="390" customWidth="1"/>
    <col min="6413" max="6413" width="21.85546875" style="390" customWidth="1"/>
    <col min="6414" max="6414" width="0" style="390" hidden="1" customWidth="1"/>
    <col min="6415" max="6415" width="10.7109375" style="390" customWidth="1"/>
    <col min="6416" max="6427" width="0" style="390" hidden="1" customWidth="1"/>
    <col min="6428" max="6428" width="11.5703125" style="390" customWidth="1"/>
    <col min="6429" max="6432" width="0" style="390" hidden="1" customWidth="1"/>
    <col min="6433" max="6433" width="5" style="390" customWidth="1"/>
    <col min="6434" max="6434" width="5.85546875" style="390" customWidth="1"/>
    <col min="6435" max="6435" width="0" style="390" hidden="1" customWidth="1"/>
    <col min="6436" max="6436" width="5.85546875" style="390" customWidth="1"/>
    <col min="6437" max="6438" width="0" style="390" hidden="1" customWidth="1"/>
    <col min="6439" max="6439" width="11.5703125" style="390" customWidth="1"/>
    <col min="6440" max="6440" width="21.7109375" style="390" customWidth="1"/>
    <col min="6441" max="6441" width="17.28515625" style="390" customWidth="1"/>
    <col min="6442" max="6442" width="0" style="390" hidden="1" customWidth="1"/>
    <col min="6443" max="6443" width="16" style="390" customWidth="1"/>
    <col min="6444" max="6444" width="17.85546875" style="390" customWidth="1"/>
    <col min="6445" max="6445" width="7.7109375" style="390" customWidth="1"/>
    <col min="6446" max="6446" width="0" style="390" hidden="1" customWidth="1"/>
    <col min="6447" max="6447" width="8.140625" style="390" customWidth="1"/>
    <col min="6448" max="6448" width="9.85546875" style="390" customWidth="1"/>
    <col min="6449" max="6449" width="12" style="390" customWidth="1"/>
    <col min="6450" max="6450" width="0" style="390" hidden="1" customWidth="1"/>
    <col min="6451" max="6451" width="3.140625" style="390" customWidth="1"/>
    <col min="6452" max="6453" width="0" style="390" hidden="1" customWidth="1"/>
    <col min="6454" max="6454" width="3.140625" style="390" customWidth="1"/>
    <col min="6455" max="6458" width="0" style="390" hidden="1" customWidth="1"/>
    <col min="6459" max="6459" width="4.5703125" style="390" customWidth="1"/>
    <col min="6460" max="6460" width="8.7109375" style="390" customWidth="1"/>
    <col min="6461" max="6463" width="0" style="390" hidden="1" customWidth="1"/>
    <col min="6464" max="6469" width="4.5703125" style="390" customWidth="1"/>
    <col min="6470" max="6472" width="0" style="390" hidden="1" customWidth="1"/>
    <col min="6473" max="6473" width="30" style="390" customWidth="1"/>
    <col min="6474" max="6554" width="0" style="390" hidden="1" customWidth="1"/>
    <col min="6555" max="6555" width="15.7109375" style="390"/>
    <col min="6556" max="6560" width="0" style="390" hidden="1" customWidth="1"/>
    <col min="6561" max="6656" width="15.7109375" style="390"/>
    <col min="6657" max="6657" width="5.85546875" style="390" customWidth="1"/>
    <col min="6658" max="6658" width="1.85546875" style="390" customWidth="1"/>
    <col min="6659" max="6659" width="3.140625" style="390" customWidth="1"/>
    <col min="6660" max="6660" width="1.7109375" style="390" customWidth="1"/>
    <col min="6661" max="6661" width="4.7109375" style="390" customWidth="1"/>
    <col min="6662" max="6662" width="0.7109375" style="390" customWidth="1"/>
    <col min="6663" max="6663" width="3.85546875" style="390" customWidth="1"/>
    <col min="6664" max="6664" width="1.7109375" style="390" customWidth="1"/>
    <col min="6665" max="6665" width="7" style="390" customWidth="1"/>
    <col min="6666" max="6666" width="5.140625" style="390" customWidth="1"/>
    <col min="6667" max="6667" width="0" style="390" hidden="1" customWidth="1"/>
    <col min="6668" max="6668" width="17.85546875" style="390" customWidth="1"/>
    <col min="6669" max="6669" width="21.85546875" style="390" customWidth="1"/>
    <col min="6670" max="6670" width="0" style="390" hidden="1" customWidth="1"/>
    <col min="6671" max="6671" width="10.7109375" style="390" customWidth="1"/>
    <col min="6672" max="6683" width="0" style="390" hidden="1" customWidth="1"/>
    <col min="6684" max="6684" width="11.5703125" style="390" customWidth="1"/>
    <col min="6685" max="6688" width="0" style="390" hidden="1" customWidth="1"/>
    <col min="6689" max="6689" width="5" style="390" customWidth="1"/>
    <col min="6690" max="6690" width="5.85546875" style="390" customWidth="1"/>
    <col min="6691" max="6691" width="0" style="390" hidden="1" customWidth="1"/>
    <col min="6692" max="6692" width="5.85546875" style="390" customWidth="1"/>
    <col min="6693" max="6694" width="0" style="390" hidden="1" customWidth="1"/>
    <col min="6695" max="6695" width="11.5703125" style="390" customWidth="1"/>
    <col min="6696" max="6696" width="21.7109375" style="390" customWidth="1"/>
    <col min="6697" max="6697" width="17.28515625" style="390" customWidth="1"/>
    <col min="6698" max="6698" width="0" style="390" hidden="1" customWidth="1"/>
    <col min="6699" max="6699" width="16" style="390" customWidth="1"/>
    <col min="6700" max="6700" width="17.85546875" style="390" customWidth="1"/>
    <col min="6701" max="6701" width="7.7109375" style="390" customWidth="1"/>
    <col min="6702" max="6702" width="0" style="390" hidden="1" customWidth="1"/>
    <col min="6703" max="6703" width="8.140625" style="390" customWidth="1"/>
    <col min="6704" max="6704" width="9.85546875" style="390" customWidth="1"/>
    <col min="6705" max="6705" width="12" style="390" customWidth="1"/>
    <col min="6706" max="6706" width="0" style="390" hidden="1" customWidth="1"/>
    <col min="6707" max="6707" width="3.140625" style="390" customWidth="1"/>
    <col min="6708" max="6709" width="0" style="390" hidden="1" customWidth="1"/>
    <col min="6710" max="6710" width="3.140625" style="390" customWidth="1"/>
    <col min="6711" max="6714" width="0" style="390" hidden="1" customWidth="1"/>
    <col min="6715" max="6715" width="4.5703125" style="390" customWidth="1"/>
    <col min="6716" max="6716" width="8.7109375" style="390" customWidth="1"/>
    <col min="6717" max="6719" width="0" style="390" hidden="1" customWidth="1"/>
    <col min="6720" max="6725" width="4.5703125" style="390" customWidth="1"/>
    <col min="6726" max="6728" width="0" style="390" hidden="1" customWidth="1"/>
    <col min="6729" max="6729" width="30" style="390" customWidth="1"/>
    <col min="6730" max="6810" width="0" style="390" hidden="1" customWidth="1"/>
    <col min="6811" max="6811" width="15.7109375" style="390"/>
    <col min="6812" max="6816" width="0" style="390" hidden="1" customWidth="1"/>
    <col min="6817" max="6912" width="15.7109375" style="390"/>
    <col min="6913" max="6913" width="5.85546875" style="390" customWidth="1"/>
    <col min="6914" max="6914" width="1.85546875" style="390" customWidth="1"/>
    <col min="6915" max="6915" width="3.140625" style="390" customWidth="1"/>
    <col min="6916" max="6916" width="1.7109375" style="390" customWidth="1"/>
    <col min="6917" max="6917" width="4.7109375" style="390" customWidth="1"/>
    <col min="6918" max="6918" width="0.7109375" style="390" customWidth="1"/>
    <col min="6919" max="6919" width="3.85546875" style="390" customWidth="1"/>
    <col min="6920" max="6920" width="1.7109375" style="390" customWidth="1"/>
    <col min="6921" max="6921" width="7" style="390" customWidth="1"/>
    <col min="6922" max="6922" width="5.140625" style="390" customWidth="1"/>
    <col min="6923" max="6923" width="0" style="390" hidden="1" customWidth="1"/>
    <col min="6924" max="6924" width="17.85546875" style="390" customWidth="1"/>
    <col min="6925" max="6925" width="21.85546875" style="390" customWidth="1"/>
    <col min="6926" max="6926" width="0" style="390" hidden="1" customWidth="1"/>
    <col min="6927" max="6927" width="10.7109375" style="390" customWidth="1"/>
    <col min="6928" max="6939" width="0" style="390" hidden="1" customWidth="1"/>
    <col min="6940" max="6940" width="11.5703125" style="390" customWidth="1"/>
    <col min="6941" max="6944" width="0" style="390" hidden="1" customWidth="1"/>
    <col min="6945" max="6945" width="5" style="390" customWidth="1"/>
    <col min="6946" max="6946" width="5.85546875" style="390" customWidth="1"/>
    <col min="6947" max="6947" width="0" style="390" hidden="1" customWidth="1"/>
    <col min="6948" max="6948" width="5.85546875" style="390" customWidth="1"/>
    <col min="6949" max="6950" width="0" style="390" hidden="1" customWidth="1"/>
    <col min="6951" max="6951" width="11.5703125" style="390" customWidth="1"/>
    <col min="6952" max="6952" width="21.7109375" style="390" customWidth="1"/>
    <col min="6953" max="6953" width="17.28515625" style="390" customWidth="1"/>
    <col min="6954" max="6954" width="0" style="390" hidden="1" customWidth="1"/>
    <col min="6955" max="6955" width="16" style="390" customWidth="1"/>
    <col min="6956" max="6956" width="17.85546875" style="390" customWidth="1"/>
    <col min="6957" max="6957" width="7.7109375" style="390" customWidth="1"/>
    <col min="6958" max="6958" width="0" style="390" hidden="1" customWidth="1"/>
    <col min="6959" max="6959" width="8.140625" style="390" customWidth="1"/>
    <col min="6960" max="6960" width="9.85546875" style="390" customWidth="1"/>
    <col min="6961" max="6961" width="12" style="390" customWidth="1"/>
    <col min="6962" max="6962" width="0" style="390" hidden="1" customWidth="1"/>
    <col min="6963" max="6963" width="3.140625" style="390" customWidth="1"/>
    <col min="6964" max="6965" width="0" style="390" hidden="1" customWidth="1"/>
    <col min="6966" max="6966" width="3.140625" style="390" customWidth="1"/>
    <col min="6967" max="6970" width="0" style="390" hidden="1" customWidth="1"/>
    <col min="6971" max="6971" width="4.5703125" style="390" customWidth="1"/>
    <col min="6972" max="6972" width="8.7109375" style="390" customWidth="1"/>
    <col min="6973" max="6975" width="0" style="390" hidden="1" customWidth="1"/>
    <col min="6976" max="6981" width="4.5703125" style="390" customWidth="1"/>
    <col min="6982" max="6984" width="0" style="390" hidden="1" customWidth="1"/>
    <col min="6985" max="6985" width="30" style="390" customWidth="1"/>
    <col min="6986" max="7066" width="0" style="390" hidden="1" customWidth="1"/>
    <col min="7067" max="7067" width="15.7109375" style="390"/>
    <col min="7068" max="7072" width="0" style="390" hidden="1" customWidth="1"/>
    <col min="7073" max="7168" width="15.7109375" style="390"/>
    <col min="7169" max="7169" width="5.85546875" style="390" customWidth="1"/>
    <col min="7170" max="7170" width="1.85546875" style="390" customWidth="1"/>
    <col min="7171" max="7171" width="3.140625" style="390" customWidth="1"/>
    <col min="7172" max="7172" width="1.7109375" style="390" customWidth="1"/>
    <col min="7173" max="7173" width="4.7109375" style="390" customWidth="1"/>
    <col min="7174" max="7174" width="0.7109375" style="390" customWidth="1"/>
    <col min="7175" max="7175" width="3.85546875" style="390" customWidth="1"/>
    <col min="7176" max="7176" width="1.7109375" style="390" customWidth="1"/>
    <col min="7177" max="7177" width="7" style="390" customWidth="1"/>
    <col min="7178" max="7178" width="5.140625" style="390" customWidth="1"/>
    <col min="7179" max="7179" width="0" style="390" hidden="1" customWidth="1"/>
    <col min="7180" max="7180" width="17.85546875" style="390" customWidth="1"/>
    <col min="7181" max="7181" width="21.85546875" style="390" customWidth="1"/>
    <col min="7182" max="7182" width="0" style="390" hidden="1" customWidth="1"/>
    <col min="7183" max="7183" width="10.7109375" style="390" customWidth="1"/>
    <col min="7184" max="7195" width="0" style="390" hidden="1" customWidth="1"/>
    <col min="7196" max="7196" width="11.5703125" style="390" customWidth="1"/>
    <col min="7197" max="7200" width="0" style="390" hidden="1" customWidth="1"/>
    <col min="7201" max="7201" width="5" style="390" customWidth="1"/>
    <col min="7202" max="7202" width="5.85546875" style="390" customWidth="1"/>
    <col min="7203" max="7203" width="0" style="390" hidden="1" customWidth="1"/>
    <col min="7204" max="7204" width="5.85546875" style="390" customWidth="1"/>
    <col min="7205" max="7206" width="0" style="390" hidden="1" customWidth="1"/>
    <col min="7207" max="7207" width="11.5703125" style="390" customWidth="1"/>
    <col min="7208" max="7208" width="21.7109375" style="390" customWidth="1"/>
    <col min="7209" max="7209" width="17.28515625" style="390" customWidth="1"/>
    <col min="7210" max="7210" width="0" style="390" hidden="1" customWidth="1"/>
    <col min="7211" max="7211" width="16" style="390" customWidth="1"/>
    <col min="7212" max="7212" width="17.85546875" style="390" customWidth="1"/>
    <col min="7213" max="7213" width="7.7109375" style="390" customWidth="1"/>
    <col min="7214" max="7214" width="0" style="390" hidden="1" customWidth="1"/>
    <col min="7215" max="7215" width="8.140625" style="390" customWidth="1"/>
    <col min="7216" max="7216" width="9.85546875" style="390" customWidth="1"/>
    <col min="7217" max="7217" width="12" style="390" customWidth="1"/>
    <col min="7218" max="7218" width="0" style="390" hidden="1" customWidth="1"/>
    <col min="7219" max="7219" width="3.140625" style="390" customWidth="1"/>
    <col min="7220" max="7221" width="0" style="390" hidden="1" customWidth="1"/>
    <col min="7222" max="7222" width="3.140625" style="390" customWidth="1"/>
    <col min="7223" max="7226" width="0" style="390" hidden="1" customWidth="1"/>
    <col min="7227" max="7227" width="4.5703125" style="390" customWidth="1"/>
    <col min="7228" max="7228" width="8.7109375" style="390" customWidth="1"/>
    <col min="7229" max="7231" width="0" style="390" hidden="1" customWidth="1"/>
    <col min="7232" max="7237" width="4.5703125" style="390" customWidth="1"/>
    <col min="7238" max="7240" width="0" style="390" hidden="1" customWidth="1"/>
    <col min="7241" max="7241" width="30" style="390" customWidth="1"/>
    <col min="7242" max="7322" width="0" style="390" hidden="1" customWidth="1"/>
    <col min="7323" max="7323" width="15.7109375" style="390"/>
    <col min="7324" max="7328" width="0" style="390" hidden="1" customWidth="1"/>
    <col min="7329" max="7424" width="15.7109375" style="390"/>
    <col min="7425" max="7425" width="5.85546875" style="390" customWidth="1"/>
    <col min="7426" max="7426" width="1.85546875" style="390" customWidth="1"/>
    <col min="7427" max="7427" width="3.140625" style="390" customWidth="1"/>
    <col min="7428" max="7428" width="1.7109375" style="390" customWidth="1"/>
    <col min="7429" max="7429" width="4.7109375" style="390" customWidth="1"/>
    <col min="7430" max="7430" width="0.7109375" style="390" customWidth="1"/>
    <col min="7431" max="7431" width="3.85546875" style="390" customWidth="1"/>
    <col min="7432" max="7432" width="1.7109375" style="390" customWidth="1"/>
    <col min="7433" max="7433" width="7" style="390" customWidth="1"/>
    <col min="7434" max="7434" width="5.140625" style="390" customWidth="1"/>
    <col min="7435" max="7435" width="0" style="390" hidden="1" customWidth="1"/>
    <col min="7436" max="7436" width="17.85546875" style="390" customWidth="1"/>
    <col min="7437" max="7437" width="21.85546875" style="390" customWidth="1"/>
    <col min="7438" max="7438" width="0" style="390" hidden="1" customWidth="1"/>
    <col min="7439" max="7439" width="10.7109375" style="390" customWidth="1"/>
    <col min="7440" max="7451" width="0" style="390" hidden="1" customWidth="1"/>
    <col min="7452" max="7452" width="11.5703125" style="390" customWidth="1"/>
    <col min="7453" max="7456" width="0" style="390" hidden="1" customWidth="1"/>
    <col min="7457" max="7457" width="5" style="390" customWidth="1"/>
    <col min="7458" max="7458" width="5.85546875" style="390" customWidth="1"/>
    <col min="7459" max="7459" width="0" style="390" hidden="1" customWidth="1"/>
    <col min="7460" max="7460" width="5.85546875" style="390" customWidth="1"/>
    <col min="7461" max="7462" width="0" style="390" hidden="1" customWidth="1"/>
    <col min="7463" max="7463" width="11.5703125" style="390" customWidth="1"/>
    <col min="7464" max="7464" width="21.7109375" style="390" customWidth="1"/>
    <col min="7465" max="7465" width="17.28515625" style="390" customWidth="1"/>
    <col min="7466" max="7466" width="0" style="390" hidden="1" customWidth="1"/>
    <col min="7467" max="7467" width="16" style="390" customWidth="1"/>
    <col min="7468" max="7468" width="17.85546875" style="390" customWidth="1"/>
    <col min="7469" max="7469" width="7.7109375" style="390" customWidth="1"/>
    <col min="7470" max="7470" width="0" style="390" hidden="1" customWidth="1"/>
    <col min="7471" max="7471" width="8.140625" style="390" customWidth="1"/>
    <col min="7472" max="7472" width="9.85546875" style="390" customWidth="1"/>
    <col min="7473" max="7473" width="12" style="390" customWidth="1"/>
    <col min="7474" max="7474" width="0" style="390" hidden="1" customWidth="1"/>
    <col min="7475" max="7475" width="3.140625" style="390" customWidth="1"/>
    <col min="7476" max="7477" width="0" style="390" hidden="1" customWidth="1"/>
    <col min="7478" max="7478" width="3.140625" style="390" customWidth="1"/>
    <col min="7479" max="7482" width="0" style="390" hidden="1" customWidth="1"/>
    <col min="7483" max="7483" width="4.5703125" style="390" customWidth="1"/>
    <col min="7484" max="7484" width="8.7109375" style="390" customWidth="1"/>
    <col min="7485" max="7487" width="0" style="390" hidden="1" customWidth="1"/>
    <col min="7488" max="7493" width="4.5703125" style="390" customWidth="1"/>
    <col min="7494" max="7496" width="0" style="390" hidden="1" customWidth="1"/>
    <col min="7497" max="7497" width="30" style="390" customWidth="1"/>
    <col min="7498" max="7578" width="0" style="390" hidden="1" customWidth="1"/>
    <col min="7579" max="7579" width="15.7109375" style="390"/>
    <col min="7580" max="7584" width="0" style="390" hidden="1" customWidth="1"/>
    <col min="7585" max="7680" width="15.7109375" style="390"/>
    <col min="7681" max="7681" width="5.85546875" style="390" customWidth="1"/>
    <col min="7682" max="7682" width="1.85546875" style="390" customWidth="1"/>
    <col min="7683" max="7683" width="3.140625" style="390" customWidth="1"/>
    <col min="7684" max="7684" width="1.7109375" style="390" customWidth="1"/>
    <col min="7685" max="7685" width="4.7109375" style="390" customWidth="1"/>
    <col min="7686" max="7686" width="0.7109375" style="390" customWidth="1"/>
    <col min="7687" max="7687" width="3.85546875" style="390" customWidth="1"/>
    <col min="7688" max="7688" width="1.7109375" style="390" customWidth="1"/>
    <col min="7689" max="7689" width="7" style="390" customWidth="1"/>
    <col min="7690" max="7690" width="5.140625" style="390" customWidth="1"/>
    <col min="7691" max="7691" width="0" style="390" hidden="1" customWidth="1"/>
    <col min="7692" max="7692" width="17.85546875" style="390" customWidth="1"/>
    <col min="7693" max="7693" width="21.85546875" style="390" customWidth="1"/>
    <col min="7694" max="7694" width="0" style="390" hidden="1" customWidth="1"/>
    <col min="7695" max="7695" width="10.7109375" style="390" customWidth="1"/>
    <col min="7696" max="7707" width="0" style="390" hidden="1" customWidth="1"/>
    <col min="7708" max="7708" width="11.5703125" style="390" customWidth="1"/>
    <col min="7709" max="7712" width="0" style="390" hidden="1" customWidth="1"/>
    <col min="7713" max="7713" width="5" style="390" customWidth="1"/>
    <col min="7714" max="7714" width="5.85546875" style="390" customWidth="1"/>
    <col min="7715" max="7715" width="0" style="390" hidden="1" customWidth="1"/>
    <col min="7716" max="7716" width="5.85546875" style="390" customWidth="1"/>
    <col min="7717" max="7718" width="0" style="390" hidden="1" customWidth="1"/>
    <col min="7719" max="7719" width="11.5703125" style="390" customWidth="1"/>
    <col min="7720" max="7720" width="21.7109375" style="390" customWidth="1"/>
    <col min="7721" max="7721" width="17.28515625" style="390" customWidth="1"/>
    <col min="7722" max="7722" width="0" style="390" hidden="1" customWidth="1"/>
    <col min="7723" max="7723" width="16" style="390" customWidth="1"/>
    <col min="7724" max="7724" width="17.85546875" style="390" customWidth="1"/>
    <col min="7725" max="7725" width="7.7109375" style="390" customWidth="1"/>
    <col min="7726" max="7726" width="0" style="390" hidden="1" customWidth="1"/>
    <col min="7727" max="7727" width="8.140625" style="390" customWidth="1"/>
    <col min="7728" max="7728" width="9.85546875" style="390" customWidth="1"/>
    <col min="7729" max="7729" width="12" style="390" customWidth="1"/>
    <col min="7730" max="7730" width="0" style="390" hidden="1" customWidth="1"/>
    <col min="7731" max="7731" width="3.140625" style="390" customWidth="1"/>
    <col min="7732" max="7733" width="0" style="390" hidden="1" customWidth="1"/>
    <col min="7734" max="7734" width="3.140625" style="390" customWidth="1"/>
    <col min="7735" max="7738" width="0" style="390" hidden="1" customWidth="1"/>
    <col min="7739" max="7739" width="4.5703125" style="390" customWidth="1"/>
    <col min="7740" max="7740" width="8.7109375" style="390" customWidth="1"/>
    <col min="7741" max="7743" width="0" style="390" hidden="1" customWidth="1"/>
    <col min="7744" max="7749" width="4.5703125" style="390" customWidth="1"/>
    <col min="7750" max="7752" width="0" style="390" hidden="1" customWidth="1"/>
    <col min="7753" max="7753" width="30" style="390" customWidth="1"/>
    <col min="7754" max="7834" width="0" style="390" hidden="1" customWidth="1"/>
    <col min="7835" max="7835" width="15.7109375" style="390"/>
    <col min="7836" max="7840" width="0" style="390" hidden="1" customWidth="1"/>
    <col min="7841" max="7936" width="15.7109375" style="390"/>
    <col min="7937" max="7937" width="5.85546875" style="390" customWidth="1"/>
    <col min="7938" max="7938" width="1.85546875" style="390" customWidth="1"/>
    <col min="7939" max="7939" width="3.140625" style="390" customWidth="1"/>
    <col min="7940" max="7940" width="1.7109375" style="390" customWidth="1"/>
    <col min="7941" max="7941" width="4.7109375" style="390" customWidth="1"/>
    <col min="7942" max="7942" width="0.7109375" style="390" customWidth="1"/>
    <col min="7943" max="7943" width="3.85546875" style="390" customWidth="1"/>
    <col min="7944" max="7944" width="1.7109375" style="390" customWidth="1"/>
    <col min="7945" max="7945" width="7" style="390" customWidth="1"/>
    <col min="7946" max="7946" width="5.140625" style="390" customWidth="1"/>
    <col min="7947" max="7947" width="0" style="390" hidden="1" customWidth="1"/>
    <col min="7948" max="7948" width="17.85546875" style="390" customWidth="1"/>
    <col min="7949" max="7949" width="21.85546875" style="390" customWidth="1"/>
    <col min="7950" max="7950" width="0" style="390" hidden="1" customWidth="1"/>
    <col min="7951" max="7951" width="10.7109375" style="390" customWidth="1"/>
    <col min="7952" max="7963" width="0" style="390" hidden="1" customWidth="1"/>
    <col min="7964" max="7964" width="11.5703125" style="390" customWidth="1"/>
    <col min="7965" max="7968" width="0" style="390" hidden="1" customWidth="1"/>
    <col min="7969" max="7969" width="5" style="390" customWidth="1"/>
    <col min="7970" max="7970" width="5.85546875" style="390" customWidth="1"/>
    <col min="7971" max="7971" width="0" style="390" hidden="1" customWidth="1"/>
    <col min="7972" max="7972" width="5.85546875" style="390" customWidth="1"/>
    <col min="7973" max="7974" width="0" style="390" hidden="1" customWidth="1"/>
    <col min="7975" max="7975" width="11.5703125" style="390" customWidth="1"/>
    <col min="7976" max="7976" width="21.7109375" style="390" customWidth="1"/>
    <col min="7977" max="7977" width="17.28515625" style="390" customWidth="1"/>
    <col min="7978" max="7978" width="0" style="390" hidden="1" customWidth="1"/>
    <col min="7979" max="7979" width="16" style="390" customWidth="1"/>
    <col min="7980" max="7980" width="17.85546875" style="390" customWidth="1"/>
    <col min="7981" max="7981" width="7.7109375" style="390" customWidth="1"/>
    <col min="7982" max="7982" width="0" style="390" hidden="1" customWidth="1"/>
    <col min="7983" max="7983" width="8.140625" style="390" customWidth="1"/>
    <col min="7984" max="7984" width="9.85546875" style="390" customWidth="1"/>
    <col min="7985" max="7985" width="12" style="390" customWidth="1"/>
    <col min="7986" max="7986" width="0" style="390" hidden="1" customWidth="1"/>
    <col min="7987" max="7987" width="3.140625" style="390" customWidth="1"/>
    <col min="7988" max="7989" width="0" style="390" hidden="1" customWidth="1"/>
    <col min="7990" max="7990" width="3.140625" style="390" customWidth="1"/>
    <col min="7991" max="7994" width="0" style="390" hidden="1" customWidth="1"/>
    <col min="7995" max="7995" width="4.5703125" style="390" customWidth="1"/>
    <col min="7996" max="7996" width="8.7109375" style="390" customWidth="1"/>
    <col min="7997" max="7999" width="0" style="390" hidden="1" customWidth="1"/>
    <col min="8000" max="8005" width="4.5703125" style="390" customWidth="1"/>
    <col min="8006" max="8008" width="0" style="390" hidden="1" customWidth="1"/>
    <col min="8009" max="8009" width="30" style="390" customWidth="1"/>
    <col min="8010" max="8090" width="0" style="390" hidden="1" customWidth="1"/>
    <col min="8091" max="8091" width="15.7109375" style="390"/>
    <col min="8092" max="8096" width="0" style="390" hidden="1" customWidth="1"/>
    <col min="8097" max="8192" width="15.7109375" style="390"/>
    <col min="8193" max="8193" width="5.85546875" style="390" customWidth="1"/>
    <col min="8194" max="8194" width="1.85546875" style="390" customWidth="1"/>
    <col min="8195" max="8195" width="3.140625" style="390" customWidth="1"/>
    <col min="8196" max="8196" width="1.7109375" style="390" customWidth="1"/>
    <col min="8197" max="8197" width="4.7109375" style="390" customWidth="1"/>
    <col min="8198" max="8198" width="0.7109375" style="390" customWidth="1"/>
    <col min="8199" max="8199" width="3.85546875" style="390" customWidth="1"/>
    <col min="8200" max="8200" width="1.7109375" style="390" customWidth="1"/>
    <col min="8201" max="8201" width="7" style="390" customWidth="1"/>
    <col min="8202" max="8202" width="5.140625" style="390" customWidth="1"/>
    <col min="8203" max="8203" width="0" style="390" hidden="1" customWidth="1"/>
    <col min="8204" max="8204" width="17.85546875" style="390" customWidth="1"/>
    <col min="8205" max="8205" width="21.85546875" style="390" customWidth="1"/>
    <col min="8206" max="8206" width="0" style="390" hidden="1" customWidth="1"/>
    <col min="8207" max="8207" width="10.7109375" style="390" customWidth="1"/>
    <col min="8208" max="8219" width="0" style="390" hidden="1" customWidth="1"/>
    <col min="8220" max="8220" width="11.5703125" style="390" customWidth="1"/>
    <col min="8221" max="8224" width="0" style="390" hidden="1" customWidth="1"/>
    <col min="8225" max="8225" width="5" style="390" customWidth="1"/>
    <col min="8226" max="8226" width="5.85546875" style="390" customWidth="1"/>
    <col min="8227" max="8227" width="0" style="390" hidden="1" customWidth="1"/>
    <col min="8228" max="8228" width="5.85546875" style="390" customWidth="1"/>
    <col min="8229" max="8230" width="0" style="390" hidden="1" customWidth="1"/>
    <col min="8231" max="8231" width="11.5703125" style="390" customWidth="1"/>
    <col min="8232" max="8232" width="21.7109375" style="390" customWidth="1"/>
    <col min="8233" max="8233" width="17.28515625" style="390" customWidth="1"/>
    <col min="8234" max="8234" width="0" style="390" hidden="1" customWidth="1"/>
    <col min="8235" max="8235" width="16" style="390" customWidth="1"/>
    <col min="8236" max="8236" width="17.85546875" style="390" customWidth="1"/>
    <col min="8237" max="8237" width="7.7109375" style="390" customWidth="1"/>
    <col min="8238" max="8238" width="0" style="390" hidden="1" customWidth="1"/>
    <col min="8239" max="8239" width="8.140625" style="390" customWidth="1"/>
    <col min="8240" max="8240" width="9.85546875" style="390" customWidth="1"/>
    <col min="8241" max="8241" width="12" style="390" customWidth="1"/>
    <col min="8242" max="8242" width="0" style="390" hidden="1" customWidth="1"/>
    <col min="8243" max="8243" width="3.140625" style="390" customWidth="1"/>
    <col min="8244" max="8245" width="0" style="390" hidden="1" customWidth="1"/>
    <col min="8246" max="8246" width="3.140625" style="390" customWidth="1"/>
    <col min="8247" max="8250" width="0" style="390" hidden="1" customWidth="1"/>
    <col min="8251" max="8251" width="4.5703125" style="390" customWidth="1"/>
    <col min="8252" max="8252" width="8.7109375" style="390" customWidth="1"/>
    <col min="8253" max="8255" width="0" style="390" hidden="1" customWidth="1"/>
    <col min="8256" max="8261" width="4.5703125" style="390" customWidth="1"/>
    <col min="8262" max="8264" width="0" style="390" hidden="1" customWidth="1"/>
    <col min="8265" max="8265" width="30" style="390" customWidth="1"/>
    <col min="8266" max="8346" width="0" style="390" hidden="1" customWidth="1"/>
    <col min="8347" max="8347" width="15.7109375" style="390"/>
    <col min="8348" max="8352" width="0" style="390" hidden="1" customWidth="1"/>
    <col min="8353" max="8448" width="15.7109375" style="390"/>
    <col min="8449" max="8449" width="5.85546875" style="390" customWidth="1"/>
    <col min="8450" max="8450" width="1.85546875" style="390" customWidth="1"/>
    <col min="8451" max="8451" width="3.140625" style="390" customWidth="1"/>
    <col min="8452" max="8452" width="1.7109375" style="390" customWidth="1"/>
    <col min="8453" max="8453" width="4.7109375" style="390" customWidth="1"/>
    <col min="8454" max="8454" width="0.7109375" style="390" customWidth="1"/>
    <col min="8455" max="8455" width="3.85546875" style="390" customWidth="1"/>
    <col min="8456" max="8456" width="1.7109375" style="390" customWidth="1"/>
    <col min="8457" max="8457" width="7" style="390" customWidth="1"/>
    <col min="8458" max="8458" width="5.140625" style="390" customWidth="1"/>
    <col min="8459" max="8459" width="0" style="390" hidden="1" customWidth="1"/>
    <col min="8460" max="8460" width="17.85546875" style="390" customWidth="1"/>
    <col min="8461" max="8461" width="21.85546875" style="390" customWidth="1"/>
    <col min="8462" max="8462" width="0" style="390" hidden="1" customWidth="1"/>
    <col min="8463" max="8463" width="10.7109375" style="390" customWidth="1"/>
    <col min="8464" max="8475" width="0" style="390" hidden="1" customWidth="1"/>
    <col min="8476" max="8476" width="11.5703125" style="390" customWidth="1"/>
    <col min="8477" max="8480" width="0" style="390" hidden="1" customWidth="1"/>
    <col min="8481" max="8481" width="5" style="390" customWidth="1"/>
    <col min="8482" max="8482" width="5.85546875" style="390" customWidth="1"/>
    <col min="8483" max="8483" width="0" style="390" hidden="1" customWidth="1"/>
    <col min="8484" max="8484" width="5.85546875" style="390" customWidth="1"/>
    <col min="8485" max="8486" width="0" style="390" hidden="1" customWidth="1"/>
    <col min="8487" max="8487" width="11.5703125" style="390" customWidth="1"/>
    <col min="8488" max="8488" width="21.7109375" style="390" customWidth="1"/>
    <col min="8489" max="8489" width="17.28515625" style="390" customWidth="1"/>
    <col min="8490" max="8490" width="0" style="390" hidden="1" customWidth="1"/>
    <col min="8491" max="8491" width="16" style="390" customWidth="1"/>
    <col min="8492" max="8492" width="17.85546875" style="390" customWidth="1"/>
    <col min="8493" max="8493" width="7.7109375" style="390" customWidth="1"/>
    <col min="8494" max="8494" width="0" style="390" hidden="1" customWidth="1"/>
    <col min="8495" max="8495" width="8.140625" style="390" customWidth="1"/>
    <col min="8496" max="8496" width="9.85546875" style="390" customWidth="1"/>
    <col min="8497" max="8497" width="12" style="390" customWidth="1"/>
    <col min="8498" max="8498" width="0" style="390" hidden="1" customWidth="1"/>
    <col min="8499" max="8499" width="3.140625" style="390" customWidth="1"/>
    <col min="8500" max="8501" width="0" style="390" hidden="1" customWidth="1"/>
    <col min="8502" max="8502" width="3.140625" style="390" customWidth="1"/>
    <col min="8503" max="8506" width="0" style="390" hidden="1" customWidth="1"/>
    <col min="8507" max="8507" width="4.5703125" style="390" customWidth="1"/>
    <col min="8508" max="8508" width="8.7109375" style="390" customWidth="1"/>
    <col min="8509" max="8511" width="0" style="390" hidden="1" customWidth="1"/>
    <col min="8512" max="8517" width="4.5703125" style="390" customWidth="1"/>
    <col min="8518" max="8520" width="0" style="390" hidden="1" customWidth="1"/>
    <col min="8521" max="8521" width="30" style="390" customWidth="1"/>
    <col min="8522" max="8602" width="0" style="390" hidden="1" customWidth="1"/>
    <col min="8603" max="8603" width="15.7109375" style="390"/>
    <col min="8604" max="8608" width="0" style="390" hidden="1" customWidth="1"/>
    <col min="8609" max="8704" width="15.7109375" style="390"/>
    <col min="8705" max="8705" width="5.85546875" style="390" customWidth="1"/>
    <col min="8706" max="8706" width="1.85546875" style="390" customWidth="1"/>
    <col min="8707" max="8707" width="3.140625" style="390" customWidth="1"/>
    <col min="8708" max="8708" width="1.7109375" style="390" customWidth="1"/>
    <col min="8709" max="8709" width="4.7109375" style="390" customWidth="1"/>
    <col min="8710" max="8710" width="0.7109375" style="390" customWidth="1"/>
    <col min="8711" max="8711" width="3.85546875" style="390" customWidth="1"/>
    <col min="8712" max="8712" width="1.7109375" style="390" customWidth="1"/>
    <col min="8713" max="8713" width="7" style="390" customWidth="1"/>
    <col min="8714" max="8714" width="5.140625" style="390" customWidth="1"/>
    <col min="8715" max="8715" width="0" style="390" hidden="1" customWidth="1"/>
    <col min="8716" max="8716" width="17.85546875" style="390" customWidth="1"/>
    <col min="8717" max="8717" width="21.85546875" style="390" customWidth="1"/>
    <col min="8718" max="8718" width="0" style="390" hidden="1" customWidth="1"/>
    <col min="8719" max="8719" width="10.7109375" style="390" customWidth="1"/>
    <col min="8720" max="8731" width="0" style="390" hidden="1" customWidth="1"/>
    <col min="8732" max="8732" width="11.5703125" style="390" customWidth="1"/>
    <col min="8733" max="8736" width="0" style="390" hidden="1" customWidth="1"/>
    <col min="8737" max="8737" width="5" style="390" customWidth="1"/>
    <col min="8738" max="8738" width="5.85546875" style="390" customWidth="1"/>
    <col min="8739" max="8739" width="0" style="390" hidden="1" customWidth="1"/>
    <col min="8740" max="8740" width="5.85546875" style="390" customWidth="1"/>
    <col min="8741" max="8742" width="0" style="390" hidden="1" customWidth="1"/>
    <col min="8743" max="8743" width="11.5703125" style="390" customWidth="1"/>
    <col min="8744" max="8744" width="21.7109375" style="390" customWidth="1"/>
    <col min="8745" max="8745" width="17.28515625" style="390" customWidth="1"/>
    <col min="8746" max="8746" width="0" style="390" hidden="1" customWidth="1"/>
    <col min="8747" max="8747" width="16" style="390" customWidth="1"/>
    <col min="8748" max="8748" width="17.85546875" style="390" customWidth="1"/>
    <col min="8749" max="8749" width="7.7109375" style="390" customWidth="1"/>
    <col min="8750" max="8750" width="0" style="390" hidden="1" customWidth="1"/>
    <col min="8751" max="8751" width="8.140625" style="390" customWidth="1"/>
    <col min="8752" max="8752" width="9.85546875" style="390" customWidth="1"/>
    <col min="8753" max="8753" width="12" style="390" customWidth="1"/>
    <col min="8754" max="8754" width="0" style="390" hidden="1" customWidth="1"/>
    <col min="8755" max="8755" width="3.140625" style="390" customWidth="1"/>
    <col min="8756" max="8757" width="0" style="390" hidden="1" customWidth="1"/>
    <col min="8758" max="8758" width="3.140625" style="390" customWidth="1"/>
    <col min="8759" max="8762" width="0" style="390" hidden="1" customWidth="1"/>
    <col min="8763" max="8763" width="4.5703125" style="390" customWidth="1"/>
    <col min="8764" max="8764" width="8.7109375" style="390" customWidth="1"/>
    <col min="8765" max="8767" width="0" style="390" hidden="1" customWidth="1"/>
    <col min="8768" max="8773" width="4.5703125" style="390" customWidth="1"/>
    <col min="8774" max="8776" width="0" style="390" hidden="1" customWidth="1"/>
    <col min="8777" max="8777" width="30" style="390" customWidth="1"/>
    <col min="8778" max="8858" width="0" style="390" hidden="1" customWidth="1"/>
    <col min="8859" max="8859" width="15.7109375" style="390"/>
    <col min="8860" max="8864" width="0" style="390" hidden="1" customWidth="1"/>
    <col min="8865" max="8960" width="15.7109375" style="390"/>
    <col min="8961" max="8961" width="5.85546875" style="390" customWidth="1"/>
    <col min="8962" max="8962" width="1.85546875" style="390" customWidth="1"/>
    <col min="8963" max="8963" width="3.140625" style="390" customWidth="1"/>
    <col min="8964" max="8964" width="1.7109375" style="390" customWidth="1"/>
    <col min="8965" max="8965" width="4.7109375" style="390" customWidth="1"/>
    <col min="8966" max="8966" width="0.7109375" style="390" customWidth="1"/>
    <col min="8967" max="8967" width="3.85546875" style="390" customWidth="1"/>
    <col min="8968" max="8968" width="1.7109375" style="390" customWidth="1"/>
    <col min="8969" max="8969" width="7" style="390" customWidth="1"/>
    <col min="8970" max="8970" width="5.140625" style="390" customWidth="1"/>
    <col min="8971" max="8971" width="0" style="390" hidden="1" customWidth="1"/>
    <col min="8972" max="8972" width="17.85546875" style="390" customWidth="1"/>
    <col min="8973" max="8973" width="21.85546875" style="390" customWidth="1"/>
    <col min="8974" max="8974" width="0" style="390" hidden="1" customWidth="1"/>
    <col min="8975" max="8975" width="10.7109375" style="390" customWidth="1"/>
    <col min="8976" max="8987" width="0" style="390" hidden="1" customWidth="1"/>
    <col min="8988" max="8988" width="11.5703125" style="390" customWidth="1"/>
    <col min="8989" max="8992" width="0" style="390" hidden="1" customWidth="1"/>
    <col min="8993" max="8993" width="5" style="390" customWidth="1"/>
    <col min="8994" max="8994" width="5.85546875" style="390" customWidth="1"/>
    <col min="8995" max="8995" width="0" style="390" hidden="1" customWidth="1"/>
    <col min="8996" max="8996" width="5.85546875" style="390" customWidth="1"/>
    <col min="8997" max="8998" width="0" style="390" hidden="1" customWidth="1"/>
    <col min="8999" max="8999" width="11.5703125" style="390" customWidth="1"/>
    <col min="9000" max="9000" width="21.7109375" style="390" customWidth="1"/>
    <col min="9001" max="9001" width="17.28515625" style="390" customWidth="1"/>
    <col min="9002" max="9002" width="0" style="390" hidden="1" customWidth="1"/>
    <col min="9003" max="9003" width="16" style="390" customWidth="1"/>
    <col min="9004" max="9004" width="17.85546875" style="390" customWidth="1"/>
    <col min="9005" max="9005" width="7.7109375" style="390" customWidth="1"/>
    <col min="9006" max="9006" width="0" style="390" hidden="1" customWidth="1"/>
    <col min="9007" max="9007" width="8.140625" style="390" customWidth="1"/>
    <col min="9008" max="9008" width="9.85546875" style="390" customWidth="1"/>
    <col min="9009" max="9009" width="12" style="390" customWidth="1"/>
    <col min="9010" max="9010" width="0" style="390" hidden="1" customWidth="1"/>
    <col min="9011" max="9011" width="3.140625" style="390" customWidth="1"/>
    <col min="9012" max="9013" width="0" style="390" hidden="1" customWidth="1"/>
    <col min="9014" max="9014" width="3.140625" style="390" customWidth="1"/>
    <col min="9015" max="9018" width="0" style="390" hidden="1" customWidth="1"/>
    <col min="9019" max="9019" width="4.5703125" style="390" customWidth="1"/>
    <col min="9020" max="9020" width="8.7109375" style="390" customWidth="1"/>
    <col min="9021" max="9023" width="0" style="390" hidden="1" customWidth="1"/>
    <col min="9024" max="9029" width="4.5703125" style="390" customWidth="1"/>
    <col min="9030" max="9032" width="0" style="390" hidden="1" customWidth="1"/>
    <col min="9033" max="9033" width="30" style="390" customWidth="1"/>
    <col min="9034" max="9114" width="0" style="390" hidden="1" customWidth="1"/>
    <col min="9115" max="9115" width="15.7109375" style="390"/>
    <col min="9116" max="9120" width="0" style="390" hidden="1" customWidth="1"/>
    <col min="9121" max="9216" width="15.7109375" style="390"/>
    <col min="9217" max="9217" width="5.85546875" style="390" customWidth="1"/>
    <col min="9218" max="9218" width="1.85546875" style="390" customWidth="1"/>
    <col min="9219" max="9219" width="3.140625" style="390" customWidth="1"/>
    <col min="9220" max="9220" width="1.7109375" style="390" customWidth="1"/>
    <col min="9221" max="9221" width="4.7109375" style="390" customWidth="1"/>
    <col min="9222" max="9222" width="0.7109375" style="390" customWidth="1"/>
    <col min="9223" max="9223" width="3.85546875" style="390" customWidth="1"/>
    <col min="9224" max="9224" width="1.7109375" style="390" customWidth="1"/>
    <col min="9225" max="9225" width="7" style="390" customWidth="1"/>
    <col min="9226" max="9226" width="5.140625" style="390" customWidth="1"/>
    <col min="9227" max="9227" width="0" style="390" hidden="1" customWidth="1"/>
    <col min="9228" max="9228" width="17.85546875" style="390" customWidth="1"/>
    <col min="9229" max="9229" width="21.85546875" style="390" customWidth="1"/>
    <col min="9230" max="9230" width="0" style="390" hidden="1" customWidth="1"/>
    <col min="9231" max="9231" width="10.7109375" style="390" customWidth="1"/>
    <col min="9232" max="9243" width="0" style="390" hidden="1" customWidth="1"/>
    <col min="9244" max="9244" width="11.5703125" style="390" customWidth="1"/>
    <col min="9245" max="9248" width="0" style="390" hidden="1" customWidth="1"/>
    <col min="9249" max="9249" width="5" style="390" customWidth="1"/>
    <col min="9250" max="9250" width="5.85546875" style="390" customWidth="1"/>
    <col min="9251" max="9251" width="0" style="390" hidden="1" customWidth="1"/>
    <col min="9252" max="9252" width="5.85546875" style="390" customWidth="1"/>
    <col min="9253" max="9254" width="0" style="390" hidden="1" customWidth="1"/>
    <col min="9255" max="9255" width="11.5703125" style="390" customWidth="1"/>
    <col min="9256" max="9256" width="21.7109375" style="390" customWidth="1"/>
    <col min="9257" max="9257" width="17.28515625" style="390" customWidth="1"/>
    <col min="9258" max="9258" width="0" style="390" hidden="1" customWidth="1"/>
    <col min="9259" max="9259" width="16" style="390" customWidth="1"/>
    <col min="9260" max="9260" width="17.85546875" style="390" customWidth="1"/>
    <col min="9261" max="9261" width="7.7109375" style="390" customWidth="1"/>
    <col min="9262" max="9262" width="0" style="390" hidden="1" customWidth="1"/>
    <col min="9263" max="9263" width="8.140625" style="390" customWidth="1"/>
    <col min="9264" max="9264" width="9.85546875" style="390" customWidth="1"/>
    <col min="9265" max="9265" width="12" style="390" customWidth="1"/>
    <col min="9266" max="9266" width="0" style="390" hidden="1" customWidth="1"/>
    <col min="9267" max="9267" width="3.140625" style="390" customWidth="1"/>
    <col min="9268" max="9269" width="0" style="390" hidden="1" customWidth="1"/>
    <col min="9270" max="9270" width="3.140625" style="390" customWidth="1"/>
    <col min="9271" max="9274" width="0" style="390" hidden="1" customWidth="1"/>
    <col min="9275" max="9275" width="4.5703125" style="390" customWidth="1"/>
    <col min="9276" max="9276" width="8.7109375" style="390" customWidth="1"/>
    <col min="9277" max="9279" width="0" style="390" hidden="1" customWidth="1"/>
    <col min="9280" max="9285" width="4.5703125" style="390" customWidth="1"/>
    <col min="9286" max="9288" width="0" style="390" hidden="1" customWidth="1"/>
    <col min="9289" max="9289" width="30" style="390" customWidth="1"/>
    <col min="9290" max="9370" width="0" style="390" hidden="1" customWidth="1"/>
    <col min="9371" max="9371" width="15.7109375" style="390"/>
    <col min="9372" max="9376" width="0" style="390" hidden="1" customWidth="1"/>
    <col min="9377" max="9472" width="15.7109375" style="390"/>
    <col min="9473" max="9473" width="5.85546875" style="390" customWidth="1"/>
    <col min="9474" max="9474" width="1.85546875" style="390" customWidth="1"/>
    <col min="9475" max="9475" width="3.140625" style="390" customWidth="1"/>
    <col min="9476" max="9476" width="1.7109375" style="390" customWidth="1"/>
    <col min="9477" max="9477" width="4.7109375" style="390" customWidth="1"/>
    <col min="9478" max="9478" width="0.7109375" style="390" customWidth="1"/>
    <col min="9479" max="9479" width="3.85546875" style="390" customWidth="1"/>
    <col min="9480" max="9480" width="1.7109375" style="390" customWidth="1"/>
    <col min="9481" max="9481" width="7" style="390" customWidth="1"/>
    <col min="9482" max="9482" width="5.140625" style="390" customWidth="1"/>
    <col min="9483" max="9483" width="0" style="390" hidden="1" customWidth="1"/>
    <col min="9484" max="9484" width="17.85546875" style="390" customWidth="1"/>
    <col min="9485" max="9485" width="21.85546875" style="390" customWidth="1"/>
    <col min="9486" max="9486" width="0" style="390" hidden="1" customWidth="1"/>
    <col min="9487" max="9487" width="10.7109375" style="390" customWidth="1"/>
    <col min="9488" max="9499" width="0" style="390" hidden="1" customWidth="1"/>
    <col min="9500" max="9500" width="11.5703125" style="390" customWidth="1"/>
    <col min="9501" max="9504" width="0" style="390" hidden="1" customWidth="1"/>
    <col min="9505" max="9505" width="5" style="390" customWidth="1"/>
    <col min="9506" max="9506" width="5.85546875" style="390" customWidth="1"/>
    <col min="9507" max="9507" width="0" style="390" hidden="1" customWidth="1"/>
    <col min="9508" max="9508" width="5.85546875" style="390" customWidth="1"/>
    <col min="9509" max="9510" width="0" style="390" hidden="1" customWidth="1"/>
    <col min="9511" max="9511" width="11.5703125" style="390" customWidth="1"/>
    <col min="9512" max="9512" width="21.7109375" style="390" customWidth="1"/>
    <col min="9513" max="9513" width="17.28515625" style="390" customWidth="1"/>
    <col min="9514" max="9514" width="0" style="390" hidden="1" customWidth="1"/>
    <col min="9515" max="9515" width="16" style="390" customWidth="1"/>
    <col min="9516" max="9516" width="17.85546875" style="390" customWidth="1"/>
    <col min="9517" max="9517" width="7.7109375" style="390" customWidth="1"/>
    <col min="9518" max="9518" width="0" style="390" hidden="1" customWidth="1"/>
    <col min="9519" max="9519" width="8.140625" style="390" customWidth="1"/>
    <col min="9520" max="9520" width="9.85546875" style="390" customWidth="1"/>
    <col min="9521" max="9521" width="12" style="390" customWidth="1"/>
    <col min="9522" max="9522" width="0" style="390" hidden="1" customWidth="1"/>
    <col min="9523" max="9523" width="3.140625" style="390" customWidth="1"/>
    <col min="9524" max="9525" width="0" style="390" hidden="1" customWidth="1"/>
    <col min="9526" max="9526" width="3.140625" style="390" customWidth="1"/>
    <col min="9527" max="9530" width="0" style="390" hidden="1" customWidth="1"/>
    <col min="9531" max="9531" width="4.5703125" style="390" customWidth="1"/>
    <col min="9532" max="9532" width="8.7109375" style="390" customWidth="1"/>
    <col min="9533" max="9535" width="0" style="390" hidden="1" customWidth="1"/>
    <col min="9536" max="9541" width="4.5703125" style="390" customWidth="1"/>
    <col min="9542" max="9544" width="0" style="390" hidden="1" customWidth="1"/>
    <col min="9545" max="9545" width="30" style="390" customWidth="1"/>
    <col min="9546" max="9626" width="0" style="390" hidden="1" customWidth="1"/>
    <col min="9627" max="9627" width="15.7109375" style="390"/>
    <col min="9628" max="9632" width="0" style="390" hidden="1" customWidth="1"/>
    <col min="9633" max="9728" width="15.7109375" style="390"/>
    <col min="9729" max="9729" width="5.85546875" style="390" customWidth="1"/>
    <col min="9730" max="9730" width="1.85546875" style="390" customWidth="1"/>
    <col min="9731" max="9731" width="3.140625" style="390" customWidth="1"/>
    <col min="9732" max="9732" width="1.7109375" style="390" customWidth="1"/>
    <col min="9733" max="9733" width="4.7109375" style="390" customWidth="1"/>
    <col min="9734" max="9734" width="0.7109375" style="390" customWidth="1"/>
    <col min="9735" max="9735" width="3.85546875" style="390" customWidth="1"/>
    <col min="9736" max="9736" width="1.7109375" style="390" customWidth="1"/>
    <col min="9737" max="9737" width="7" style="390" customWidth="1"/>
    <col min="9738" max="9738" width="5.140625" style="390" customWidth="1"/>
    <col min="9739" max="9739" width="0" style="390" hidden="1" customWidth="1"/>
    <col min="9740" max="9740" width="17.85546875" style="390" customWidth="1"/>
    <col min="9741" max="9741" width="21.85546875" style="390" customWidth="1"/>
    <col min="9742" max="9742" width="0" style="390" hidden="1" customWidth="1"/>
    <col min="9743" max="9743" width="10.7109375" style="390" customWidth="1"/>
    <col min="9744" max="9755" width="0" style="390" hidden="1" customWidth="1"/>
    <col min="9756" max="9756" width="11.5703125" style="390" customWidth="1"/>
    <col min="9757" max="9760" width="0" style="390" hidden="1" customWidth="1"/>
    <col min="9761" max="9761" width="5" style="390" customWidth="1"/>
    <col min="9762" max="9762" width="5.85546875" style="390" customWidth="1"/>
    <col min="9763" max="9763" width="0" style="390" hidden="1" customWidth="1"/>
    <col min="9764" max="9764" width="5.85546875" style="390" customWidth="1"/>
    <col min="9765" max="9766" width="0" style="390" hidden="1" customWidth="1"/>
    <col min="9767" max="9767" width="11.5703125" style="390" customWidth="1"/>
    <col min="9768" max="9768" width="21.7109375" style="390" customWidth="1"/>
    <col min="9769" max="9769" width="17.28515625" style="390" customWidth="1"/>
    <col min="9770" max="9770" width="0" style="390" hidden="1" customWidth="1"/>
    <col min="9771" max="9771" width="16" style="390" customWidth="1"/>
    <col min="9772" max="9772" width="17.85546875" style="390" customWidth="1"/>
    <col min="9773" max="9773" width="7.7109375" style="390" customWidth="1"/>
    <col min="9774" max="9774" width="0" style="390" hidden="1" customWidth="1"/>
    <col min="9775" max="9775" width="8.140625" style="390" customWidth="1"/>
    <col min="9776" max="9776" width="9.85546875" style="390" customWidth="1"/>
    <col min="9777" max="9777" width="12" style="390" customWidth="1"/>
    <col min="9778" max="9778" width="0" style="390" hidden="1" customWidth="1"/>
    <col min="9779" max="9779" width="3.140625" style="390" customWidth="1"/>
    <col min="9780" max="9781" width="0" style="390" hidden="1" customWidth="1"/>
    <col min="9782" max="9782" width="3.140625" style="390" customWidth="1"/>
    <col min="9783" max="9786" width="0" style="390" hidden="1" customWidth="1"/>
    <col min="9787" max="9787" width="4.5703125" style="390" customWidth="1"/>
    <col min="9788" max="9788" width="8.7109375" style="390" customWidth="1"/>
    <col min="9789" max="9791" width="0" style="390" hidden="1" customWidth="1"/>
    <col min="9792" max="9797" width="4.5703125" style="390" customWidth="1"/>
    <col min="9798" max="9800" width="0" style="390" hidden="1" customWidth="1"/>
    <col min="9801" max="9801" width="30" style="390" customWidth="1"/>
    <col min="9802" max="9882" width="0" style="390" hidden="1" customWidth="1"/>
    <col min="9883" max="9883" width="15.7109375" style="390"/>
    <col min="9884" max="9888" width="0" style="390" hidden="1" customWidth="1"/>
    <col min="9889" max="9984" width="15.7109375" style="390"/>
    <col min="9985" max="9985" width="5.85546875" style="390" customWidth="1"/>
    <col min="9986" max="9986" width="1.85546875" style="390" customWidth="1"/>
    <col min="9987" max="9987" width="3.140625" style="390" customWidth="1"/>
    <col min="9988" max="9988" width="1.7109375" style="390" customWidth="1"/>
    <col min="9989" max="9989" width="4.7109375" style="390" customWidth="1"/>
    <col min="9990" max="9990" width="0.7109375" style="390" customWidth="1"/>
    <col min="9991" max="9991" width="3.85546875" style="390" customWidth="1"/>
    <col min="9992" max="9992" width="1.7109375" style="390" customWidth="1"/>
    <col min="9993" max="9993" width="7" style="390" customWidth="1"/>
    <col min="9994" max="9994" width="5.140625" style="390" customWidth="1"/>
    <col min="9995" max="9995" width="0" style="390" hidden="1" customWidth="1"/>
    <col min="9996" max="9996" width="17.85546875" style="390" customWidth="1"/>
    <col min="9997" max="9997" width="21.85546875" style="390" customWidth="1"/>
    <col min="9998" max="9998" width="0" style="390" hidden="1" customWidth="1"/>
    <col min="9999" max="9999" width="10.7109375" style="390" customWidth="1"/>
    <col min="10000" max="10011" width="0" style="390" hidden="1" customWidth="1"/>
    <col min="10012" max="10012" width="11.5703125" style="390" customWidth="1"/>
    <col min="10013" max="10016" width="0" style="390" hidden="1" customWidth="1"/>
    <col min="10017" max="10017" width="5" style="390" customWidth="1"/>
    <col min="10018" max="10018" width="5.85546875" style="390" customWidth="1"/>
    <col min="10019" max="10019" width="0" style="390" hidden="1" customWidth="1"/>
    <col min="10020" max="10020" width="5.85546875" style="390" customWidth="1"/>
    <col min="10021" max="10022" width="0" style="390" hidden="1" customWidth="1"/>
    <col min="10023" max="10023" width="11.5703125" style="390" customWidth="1"/>
    <col min="10024" max="10024" width="21.7109375" style="390" customWidth="1"/>
    <col min="10025" max="10025" width="17.28515625" style="390" customWidth="1"/>
    <col min="10026" max="10026" width="0" style="390" hidden="1" customWidth="1"/>
    <col min="10027" max="10027" width="16" style="390" customWidth="1"/>
    <col min="10028" max="10028" width="17.85546875" style="390" customWidth="1"/>
    <col min="10029" max="10029" width="7.7109375" style="390" customWidth="1"/>
    <col min="10030" max="10030" width="0" style="390" hidden="1" customWidth="1"/>
    <col min="10031" max="10031" width="8.140625" style="390" customWidth="1"/>
    <col min="10032" max="10032" width="9.85546875" style="390" customWidth="1"/>
    <col min="10033" max="10033" width="12" style="390" customWidth="1"/>
    <col min="10034" max="10034" width="0" style="390" hidden="1" customWidth="1"/>
    <col min="10035" max="10035" width="3.140625" style="390" customWidth="1"/>
    <col min="10036" max="10037" width="0" style="390" hidden="1" customWidth="1"/>
    <col min="10038" max="10038" width="3.140625" style="390" customWidth="1"/>
    <col min="10039" max="10042" width="0" style="390" hidden="1" customWidth="1"/>
    <col min="10043" max="10043" width="4.5703125" style="390" customWidth="1"/>
    <col min="10044" max="10044" width="8.7109375" style="390" customWidth="1"/>
    <col min="10045" max="10047" width="0" style="390" hidden="1" customWidth="1"/>
    <col min="10048" max="10053" width="4.5703125" style="390" customWidth="1"/>
    <col min="10054" max="10056" width="0" style="390" hidden="1" customWidth="1"/>
    <col min="10057" max="10057" width="30" style="390" customWidth="1"/>
    <col min="10058" max="10138" width="0" style="390" hidden="1" customWidth="1"/>
    <col min="10139" max="10139" width="15.7109375" style="390"/>
    <col min="10140" max="10144" width="0" style="390" hidden="1" customWidth="1"/>
    <col min="10145" max="10240" width="15.7109375" style="390"/>
    <col min="10241" max="10241" width="5.85546875" style="390" customWidth="1"/>
    <col min="10242" max="10242" width="1.85546875" style="390" customWidth="1"/>
    <col min="10243" max="10243" width="3.140625" style="390" customWidth="1"/>
    <col min="10244" max="10244" width="1.7109375" style="390" customWidth="1"/>
    <col min="10245" max="10245" width="4.7109375" style="390" customWidth="1"/>
    <col min="10246" max="10246" width="0.7109375" style="390" customWidth="1"/>
    <col min="10247" max="10247" width="3.85546875" style="390" customWidth="1"/>
    <col min="10248" max="10248" width="1.7109375" style="390" customWidth="1"/>
    <col min="10249" max="10249" width="7" style="390" customWidth="1"/>
    <col min="10250" max="10250" width="5.140625" style="390" customWidth="1"/>
    <col min="10251" max="10251" width="0" style="390" hidden="1" customWidth="1"/>
    <col min="10252" max="10252" width="17.85546875" style="390" customWidth="1"/>
    <col min="10253" max="10253" width="21.85546875" style="390" customWidth="1"/>
    <col min="10254" max="10254" width="0" style="390" hidden="1" customWidth="1"/>
    <col min="10255" max="10255" width="10.7109375" style="390" customWidth="1"/>
    <col min="10256" max="10267" width="0" style="390" hidden="1" customWidth="1"/>
    <col min="10268" max="10268" width="11.5703125" style="390" customWidth="1"/>
    <col min="10269" max="10272" width="0" style="390" hidden="1" customWidth="1"/>
    <col min="10273" max="10273" width="5" style="390" customWidth="1"/>
    <col min="10274" max="10274" width="5.85546875" style="390" customWidth="1"/>
    <col min="10275" max="10275" width="0" style="390" hidden="1" customWidth="1"/>
    <col min="10276" max="10276" width="5.85546875" style="390" customWidth="1"/>
    <col min="10277" max="10278" width="0" style="390" hidden="1" customWidth="1"/>
    <col min="10279" max="10279" width="11.5703125" style="390" customWidth="1"/>
    <col min="10280" max="10280" width="21.7109375" style="390" customWidth="1"/>
    <col min="10281" max="10281" width="17.28515625" style="390" customWidth="1"/>
    <col min="10282" max="10282" width="0" style="390" hidden="1" customWidth="1"/>
    <col min="10283" max="10283" width="16" style="390" customWidth="1"/>
    <col min="10284" max="10284" width="17.85546875" style="390" customWidth="1"/>
    <col min="10285" max="10285" width="7.7109375" style="390" customWidth="1"/>
    <col min="10286" max="10286" width="0" style="390" hidden="1" customWidth="1"/>
    <col min="10287" max="10287" width="8.140625" style="390" customWidth="1"/>
    <col min="10288" max="10288" width="9.85546875" style="390" customWidth="1"/>
    <col min="10289" max="10289" width="12" style="390" customWidth="1"/>
    <col min="10290" max="10290" width="0" style="390" hidden="1" customWidth="1"/>
    <col min="10291" max="10291" width="3.140625" style="390" customWidth="1"/>
    <col min="10292" max="10293" width="0" style="390" hidden="1" customWidth="1"/>
    <col min="10294" max="10294" width="3.140625" style="390" customWidth="1"/>
    <col min="10295" max="10298" width="0" style="390" hidden="1" customWidth="1"/>
    <col min="10299" max="10299" width="4.5703125" style="390" customWidth="1"/>
    <col min="10300" max="10300" width="8.7109375" style="390" customWidth="1"/>
    <col min="10301" max="10303" width="0" style="390" hidden="1" customWidth="1"/>
    <col min="10304" max="10309" width="4.5703125" style="390" customWidth="1"/>
    <col min="10310" max="10312" width="0" style="390" hidden="1" customWidth="1"/>
    <col min="10313" max="10313" width="30" style="390" customWidth="1"/>
    <col min="10314" max="10394" width="0" style="390" hidden="1" customWidth="1"/>
    <col min="10395" max="10395" width="15.7109375" style="390"/>
    <col min="10396" max="10400" width="0" style="390" hidden="1" customWidth="1"/>
    <col min="10401" max="10496" width="15.7109375" style="390"/>
    <col min="10497" max="10497" width="5.85546875" style="390" customWidth="1"/>
    <col min="10498" max="10498" width="1.85546875" style="390" customWidth="1"/>
    <col min="10499" max="10499" width="3.140625" style="390" customWidth="1"/>
    <col min="10500" max="10500" width="1.7109375" style="390" customWidth="1"/>
    <col min="10501" max="10501" width="4.7109375" style="390" customWidth="1"/>
    <col min="10502" max="10502" width="0.7109375" style="390" customWidth="1"/>
    <col min="10503" max="10503" width="3.85546875" style="390" customWidth="1"/>
    <col min="10504" max="10504" width="1.7109375" style="390" customWidth="1"/>
    <col min="10505" max="10505" width="7" style="390" customWidth="1"/>
    <col min="10506" max="10506" width="5.140625" style="390" customWidth="1"/>
    <col min="10507" max="10507" width="0" style="390" hidden="1" customWidth="1"/>
    <col min="10508" max="10508" width="17.85546875" style="390" customWidth="1"/>
    <col min="10509" max="10509" width="21.85546875" style="390" customWidth="1"/>
    <col min="10510" max="10510" width="0" style="390" hidden="1" customWidth="1"/>
    <col min="10511" max="10511" width="10.7109375" style="390" customWidth="1"/>
    <col min="10512" max="10523" width="0" style="390" hidden="1" customWidth="1"/>
    <col min="10524" max="10524" width="11.5703125" style="390" customWidth="1"/>
    <col min="10525" max="10528" width="0" style="390" hidden="1" customWidth="1"/>
    <col min="10529" max="10529" width="5" style="390" customWidth="1"/>
    <col min="10530" max="10530" width="5.85546875" style="390" customWidth="1"/>
    <col min="10531" max="10531" width="0" style="390" hidden="1" customWidth="1"/>
    <col min="10532" max="10532" width="5.85546875" style="390" customWidth="1"/>
    <col min="10533" max="10534" width="0" style="390" hidden="1" customWidth="1"/>
    <col min="10535" max="10535" width="11.5703125" style="390" customWidth="1"/>
    <col min="10536" max="10536" width="21.7109375" style="390" customWidth="1"/>
    <col min="10537" max="10537" width="17.28515625" style="390" customWidth="1"/>
    <col min="10538" max="10538" width="0" style="390" hidden="1" customWidth="1"/>
    <col min="10539" max="10539" width="16" style="390" customWidth="1"/>
    <col min="10540" max="10540" width="17.85546875" style="390" customWidth="1"/>
    <col min="10541" max="10541" width="7.7109375" style="390" customWidth="1"/>
    <col min="10542" max="10542" width="0" style="390" hidden="1" customWidth="1"/>
    <col min="10543" max="10543" width="8.140625" style="390" customWidth="1"/>
    <col min="10544" max="10544" width="9.85546875" style="390" customWidth="1"/>
    <col min="10545" max="10545" width="12" style="390" customWidth="1"/>
    <col min="10546" max="10546" width="0" style="390" hidden="1" customWidth="1"/>
    <col min="10547" max="10547" width="3.140625" style="390" customWidth="1"/>
    <col min="10548" max="10549" width="0" style="390" hidden="1" customWidth="1"/>
    <col min="10550" max="10550" width="3.140625" style="390" customWidth="1"/>
    <col min="10551" max="10554" width="0" style="390" hidden="1" customWidth="1"/>
    <col min="10555" max="10555" width="4.5703125" style="390" customWidth="1"/>
    <col min="10556" max="10556" width="8.7109375" style="390" customWidth="1"/>
    <col min="10557" max="10559" width="0" style="390" hidden="1" customWidth="1"/>
    <col min="10560" max="10565" width="4.5703125" style="390" customWidth="1"/>
    <col min="10566" max="10568" width="0" style="390" hidden="1" customWidth="1"/>
    <col min="10569" max="10569" width="30" style="390" customWidth="1"/>
    <col min="10570" max="10650" width="0" style="390" hidden="1" customWidth="1"/>
    <col min="10651" max="10651" width="15.7109375" style="390"/>
    <col min="10652" max="10656" width="0" style="390" hidden="1" customWidth="1"/>
    <col min="10657" max="10752" width="15.7109375" style="390"/>
    <col min="10753" max="10753" width="5.85546875" style="390" customWidth="1"/>
    <col min="10754" max="10754" width="1.85546875" style="390" customWidth="1"/>
    <col min="10755" max="10755" width="3.140625" style="390" customWidth="1"/>
    <col min="10756" max="10756" width="1.7109375" style="390" customWidth="1"/>
    <col min="10757" max="10757" width="4.7109375" style="390" customWidth="1"/>
    <col min="10758" max="10758" width="0.7109375" style="390" customWidth="1"/>
    <col min="10759" max="10759" width="3.85546875" style="390" customWidth="1"/>
    <col min="10760" max="10760" width="1.7109375" style="390" customWidth="1"/>
    <col min="10761" max="10761" width="7" style="390" customWidth="1"/>
    <col min="10762" max="10762" width="5.140625" style="390" customWidth="1"/>
    <col min="10763" max="10763" width="0" style="390" hidden="1" customWidth="1"/>
    <col min="10764" max="10764" width="17.85546875" style="390" customWidth="1"/>
    <col min="10765" max="10765" width="21.85546875" style="390" customWidth="1"/>
    <col min="10766" max="10766" width="0" style="390" hidden="1" customWidth="1"/>
    <col min="10767" max="10767" width="10.7109375" style="390" customWidth="1"/>
    <col min="10768" max="10779" width="0" style="390" hidden="1" customWidth="1"/>
    <col min="10780" max="10780" width="11.5703125" style="390" customWidth="1"/>
    <col min="10781" max="10784" width="0" style="390" hidden="1" customWidth="1"/>
    <col min="10785" max="10785" width="5" style="390" customWidth="1"/>
    <col min="10786" max="10786" width="5.85546875" style="390" customWidth="1"/>
    <col min="10787" max="10787" width="0" style="390" hidden="1" customWidth="1"/>
    <col min="10788" max="10788" width="5.85546875" style="390" customWidth="1"/>
    <col min="10789" max="10790" width="0" style="390" hidden="1" customWidth="1"/>
    <col min="10791" max="10791" width="11.5703125" style="390" customWidth="1"/>
    <col min="10792" max="10792" width="21.7109375" style="390" customWidth="1"/>
    <col min="10793" max="10793" width="17.28515625" style="390" customWidth="1"/>
    <col min="10794" max="10794" width="0" style="390" hidden="1" customWidth="1"/>
    <col min="10795" max="10795" width="16" style="390" customWidth="1"/>
    <col min="10796" max="10796" width="17.85546875" style="390" customWidth="1"/>
    <col min="10797" max="10797" width="7.7109375" style="390" customWidth="1"/>
    <col min="10798" max="10798" width="0" style="390" hidden="1" customWidth="1"/>
    <col min="10799" max="10799" width="8.140625" style="390" customWidth="1"/>
    <col min="10800" max="10800" width="9.85546875" style="390" customWidth="1"/>
    <col min="10801" max="10801" width="12" style="390" customWidth="1"/>
    <col min="10802" max="10802" width="0" style="390" hidden="1" customWidth="1"/>
    <col min="10803" max="10803" width="3.140625" style="390" customWidth="1"/>
    <col min="10804" max="10805" width="0" style="390" hidden="1" customWidth="1"/>
    <col min="10806" max="10806" width="3.140625" style="390" customWidth="1"/>
    <col min="10807" max="10810" width="0" style="390" hidden="1" customWidth="1"/>
    <col min="10811" max="10811" width="4.5703125" style="390" customWidth="1"/>
    <col min="10812" max="10812" width="8.7109375" style="390" customWidth="1"/>
    <col min="10813" max="10815" width="0" style="390" hidden="1" customWidth="1"/>
    <col min="10816" max="10821" width="4.5703125" style="390" customWidth="1"/>
    <col min="10822" max="10824" width="0" style="390" hidden="1" customWidth="1"/>
    <col min="10825" max="10825" width="30" style="390" customWidth="1"/>
    <col min="10826" max="10906" width="0" style="390" hidden="1" customWidth="1"/>
    <col min="10907" max="10907" width="15.7109375" style="390"/>
    <col min="10908" max="10912" width="0" style="390" hidden="1" customWidth="1"/>
    <col min="10913" max="11008" width="15.7109375" style="390"/>
    <col min="11009" max="11009" width="5.85546875" style="390" customWidth="1"/>
    <col min="11010" max="11010" width="1.85546875" style="390" customWidth="1"/>
    <col min="11011" max="11011" width="3.140625" style="390" customWidth="1"/>
    <col min="11012" max="11012" width="1.7109375" style="390" customWidth="1"/>
    <col min="11013" max="11013" width="4.7109375" style="390" customWidth="1"/>
    <col min="11014" max="11014" width="0.7109375" style="390" customWidth="1"/>
    <col min="11015" max="11015" width="3.85546875" style="390" customWidth="1"/>
    <col min="11016" max="11016" width="1.7109375" style="390" customWidth="1"/>
    <col min="11017" max="11017" width="7" style="390" customWidth="1"/>
    <col min="11018" max="11018" width="5.140625" style="390" customWidth="1"/>
    <col min="11019" max="11019" width="0" style="390" hidden="1" customWidth="1"/>
    <col min="11020" max="11020" width="17.85546875" style="390" customWidth="1"/>
    <col min="11021" max="11021" width="21.85546875" style="390" customWidth="1"/>
    <col min="11022" max="11022" width="0" style="390" hidden="1" customWidth="1"/>
    <col min="11023" max="11023" width="10.7109375" style="390" customWidth="1"/>
    <col min="11024" max="11035" width="0" style="390" hidden="1" customWidth="1"/>
    <col min="11036" max="11036" width="11.5703125" style="390" customWidth="1"/>
    <col min="11037" max="11040" width="0" style="390" hidden="1" customWidth="1"/>
    <col min="11041" max="11041" width="5" style="390" customWidth="1"/>
    <col min="11042" max="11042" width="5.85546875" style="390" customWidth="1"/>
    <col min="11043" max="11043" width="0" style="390" hidden="1" customWidth="1"/>
    <col min="11044" max="11044" width="5.85546875" style="390" customWidth="1"/>
    <col min="11045" max="11046" width="0" style="390" hidden="1" customWidth="1"/>
    <col min="11047" max="11047" width="11.5703125" style="390" customWidth="1"/>
    <col min="11048" max="11048" width="21.7109375" style="390" customWidth="1"/>
    <col min="11049" max="11049" width="17.28515625" style="390" customWidth="1"/>
    <col min="11050" max="11050" width="0" style="390" hidden="1" customWidth="1"/>
    <col min="11051" max="11051" width="16" style="390" customWidth="1"/>
    <col min="11052" max="11052" width="17.85546875" style="390" customWidth="1"/>
    <col min="11053" max="11053" width="7.7109375" style="390" customWidth="1"/>
    <col min="11054" max="11054" width="0" style="390" hidden="1" customWidth="1"/>
    <col min="11055" max="11055" width="8.140625" style="390" customWidth="1"/>
    <col min="11056" max="11056" width="9.85546875" style="390" customWidth="1"/>
    <col min="11057" max="11057" width="12" style="390" customWidth="1"/>
    <col min="11058" max="11058" width="0" style="390" hidden="1" customWidth="1"/>
    <col min="11059" max="11059" width="3.140625" style="390" customWidth="1"/>
    <col min="11060" max="11061" width="0" style="390" hidden="1" customWidth="1"/>
    <col min="11062" max="11062" width="3.140625" style="390" customWidth="1"/>
    <col min="11063" max="11066" width="0" style="390" hidden="1" customWidth="1"/>
    <col min="11067" max="11067" width="4.5703125" style="390" customWidth="1"/>
    <col min="11068" max="11068" width="8.7109375" style="390" customWidth="1"/>
    <col min="11069" max="11071" width="0" style="390" hidden="1" customWidth="1"/>
    <col min="11072" max="11077" width="4.5703125" style="390" customWidth="1"/>
    <col min="11078" max="11080" width="0" style="390" hidden="1" customWidth="1"/>
    <col min="11081" max="11081" width="30" style="390" customWidth="1"/>
    <col min="11082" max="11162" width="0" style="390" hidden="1" customWidth="1"/>
    <col min="11163" max="11163" width="15.7109375" style="390"/>
    <col min="11164" max="11168" width="0" style="390" hidden="1" customWidth="1"/>
    <col min="11169" max="11264" width="15.7109375" style="390"/>
    <col min="11265" max="11265" width="5.85546875" style="390" customWidth="1"/>
    <col min="11266" max="11266" width="1.85546875" style="390" customWidth="1"/>
    <col min="11267" max="11267" width="3.140625" style="390" customWidth="1"/>
    <col min="11268" max="11268" width="1.7109375" style="390" customWidth="1"/>
    <col min="11269" max="11269" width="4.7109375" style="390" customWidth="1"/>
    <col min="11270" max="11270" width="0.7109375" style="390" customWidth="1"/>
    <col min="11271" max="11271" width="3.85546875" style="390" customWidth="1"/>
    <col min="11272" max="11272" width="1.7109375" style="390" customWidth="1"/>
    <col min="11273" max="11273" width="7" style="390" customWidth="1"/>
    <col min="11274" max="11274" width="5.140625" style="390" customWidth="1"/>
    <col min="11275" max="11275" width="0" style="390" hidden="1" customWidth="1"/>
    <col min="11276" max="11276" width="17.85546875" style="390" customWidth="1"/>
    <col min="11277" max="11277" width="21.85546875" style="390" customWidth="1"/>
    <col min="11278" max="11278" width="0" style="390" hidden="1" customWidth="1"/>
    <col min="11279" max="11279" width="10.7109375" style="390" customWidth="1"/>
    <col min="11280" max="11291" width="0" style="390" hidden="1" customWidth="1"/>
    <col min="11292" max="11292" width="11.5703125" style="390" customWidth="1"/>
    <col min="11293" max="11296" width="0" style="390" hidden="1" customWidth="1"/>
    <col min="11297" max="11297" width="5" style="390" customWidth="1"/>
    <col min="11298" max="11298" width="5.85546875" style="390" customWidth="1"/>
    <col min="11299" max="11299" width="0" style="390" hidden="1" customWidth="1"/>
    <col min="11300" max="11300" width="5.85546875" style="390" customWidth="1"/>
    <col min="11301" max="11302" width="0" style="390" hidden="1" customWidth="1"/>
    <col min="11303" max="11303" width="11.5703125" style="390" customWidth="1"/>
    <col min="11304" max="11304" width="21.7109375" style="390" customWidth="1"/>
    <col min="11305" max="11305" width="17.28515625" style="390" customWidth="1"/>
    <col min="11306" max="11306" width="0" style="390" hidden="1" customWidth="1"/>
    <col min="11307" max="11307" width="16" style="390" customWidth="1"/>
    <col min="11308" max="11308" width="17.85546875" style="390" customWidth="1"/>
    <col min="11309" max="11309" width="7.7109375" style="390" customWidth="1"/>
    <col min="11310" max="11310" width="0" style="390" hidden="1" customWidth="1"/>
    <col min="11311" max="11311" width="8.140625" style="390" customWidth="1"/>
    <col min="11312" max="11312" width="9.85546875" style="390" customWidth="1"/>
    <col min="11313" max="11313" width="12" style="390" customWidth="1"/>
    <col min="11314" max="11314" width="0" style="390" hidden="1" customWidth="1"/>
    <col min="11315" max="11315" width="3.140625" style="390" customWidth="1"/>
    <col min="11316" max="11317" width="0" style="390" hidden="1" customWidth="1"/>
    <col min="11318" max="11318" width="3.140625" style="390" customWidth="1"/>
    <col min="11319" max="11322" width="0" style="390" hidden="1" customWidth="1"/>
    <col min="11323" max="11323" width="4.5703125" style="390" customWidth="1"/>
    <col min="11324" max="11324" width="8.7109375" style="390" customWidth="1"/>
    <col min="11325" max="11327" width="0" style="390" hidden="1" customWidth="1"/>
    <col min="11328" max="11333" width="4.5703125" style="390" customWidth="1"/>
    <col min="11334" max="11336" width="0" style="390" hidden="1" customWidth="1"/>
    <col min="11337" max="11337" width="30" style="390" customWidth="1"/>
    <col min="11338" max="11418" width="0" style="390" hidden="1" customWidth="1"/>
    <col min="11419" max="11419" width="15.7109375" style="390"/>
    <col min="11420" max="11424" width="0" style="390" hidden="1" customWidth="1"/>
    <col min="11425" max="11520" width="15.7109375" style="390"/>
    <col min="11521" max="11521" width="5.85546875" style="390" customWidth="1"/>
    <col min="11522" max="11522" width="1.85546875" style="390" customWidth="1"/>
    <col min="11523" max="11523" width="3.140625" style="390" customWidth="1"/>
    <col min="11524" max="11524" width="1.7109375" style="390" customWidth="1"/>
    <col min="11525" max="11525" width="4.7109375" style="390" customWidth="1"/>
    <col min="11526" max="11526" width="0.7109375" style="390" customWidth="1"/>
    <col min="11527" max="11527" width="3.85546875" style="390" customWidth="1"/>
    <col min="11528" max="11528" width="1.7109375" style="390" customWidth="1"/>
    <col min="11529" max="11529" width="7" style="390" customWidth="1"/>
    <col min="11530" max="11530" width="5.140625" style="390" customWidth="1"/>
    <col min="11531" max="11531" width="0" style="390" hidden="1" customWidth="1"/>
    <col min="11532" max="11532" width="17.85546875" style="390" customWidth="1"/>
    <col min="11533" max="11533" width="21.85546875" style="390" customWidth="1"/>
    <col min="11534" max="11534" width="0" style="390" hidden="1" customWidth="1"/>
    <col min="11535" max="11535" width="10.7109375" style="390" customWidth="1"/>
    <col min="11536" max="11547" width="0" style="390" hidden="1" customWidth="1"/>
    <col min="11548" max="11548" width="11.5703125" style="390" customWidth="1"/>
    <col min="11549" max="11552" width="0" style="390" hidden="1" customWidth="1"/>
    <col min="11553" max="11553" width="5" style="390" customWidth="1"/>
    <col min="11554" max="11554" width="5.85546875" style="390" customWidth="1"/>
    <col min="11555" max="11555" width="0" style="390" hidden="1" customWidth="1"/>
    <col min="11556" max="11556" width="5.85546875" style="390" customWidth="1"/>
    <col min="11557" max="11558" width="0" style="390" hidden="1" customWidth="1"/>
    <col min="11559" max="11559" width="11.5703125" style="390" customWidth="1"/>
    <col min="11560" max="11560" width="21.7109375" style="390" customWidth="1"/>
    <col min="11561" max="11561" width="17.28515625" style="390" customWidth="1"/>
    <col min="11562" max="11562" width="0" style="390" hidden="1" customWidth="1"/>
    <col min="11563" max="11563" width="16" style="390" customWidth="1"/>
    <col min="11564" max="11564" width="17.85546875" style="390" customWidth="1"/>
    <col min="11565" max="11565" width="7.7109375" style="390" customWidth="1"/>
    <col min="11566" max="11566" width="0" style="390" hidden="1" customWidth="1"/>
    <col min="11567" max="11567" width="8.140625" style="390" customWidth="1"/>
    <col min="11568" max="11568" width="9.85546875" style="390" customWidth="1"/>
    <col min="11569" max="11569" width="12" style="390" customWidth="1"/>
    <col min="11570" max="11570" width="0" style="390" hidden="1" customWidth="1"/>
    <col min="11571" max="11571" width="3.140625" style="390" customWidth="1"/>
    <col min="11572" max="11573" width="0" style="390" hidden="1" customWidth="1"/>
    <col min="11574" max="11574" width="3.140625" style="390" customWidth="1"/>
    <col min="11575" max="11578" width="0" style="390" hidden="1" customWidth="1"/>
    <col min="11579" max="11579" width="4.5703125" style="390" customWidth="1"/>
    <col min="11580" max="11580" width="8.7109375" style="390" customWidth="1"/>
    <col min="11581" max="11583" width="0" style="390" hidden="1" customWidth="1"/>
    <col min="11584" max="11589" width="4.5703125" style="390" customWidth="1"/>
    <col min="11590" max="11592" width="0" style="390" hidden="1" customWidth="1"/>
    <col min="11593" max="11593" width="30" style="390" customWidth="1"/>
    <col min="11594" max="11674" width="0" style="390" hidden="1" customWidth="1"/>
    <col min="11675" max="11675" width="15.7109375" style="390"/>
    <col min="11676" max="11680" width="0" style="390" hidden="1" customWidth="1"/>
    <col min="11681" max="11776" width="15.7109375" style="390"/>
    <col min="11777" max="11777" width="5.85546875" style="390" customWidth="1"/>
    <col min="11778" max="11778" width="1.85546875" style="390" customWidth="1"/>
    <col min="11779" max="11779" width="3.140625" style="390" customWidth="1"/>
    <col min="11780" max="11780" width="1.7109375" style="390" customWidth="1"/>
    <col min="11781" max="11781" width="4.7109375" style="390" customWidth="1"/>
    <col min="11782" max="11782" width="0.7109375" style="390" customWidth="1"/>
    <col min="11783" max="11783" width="3.85546875" style="390" customWidth="1"/>
    <col min="11784" max="11784" width="1.7109375" style="390" customWidth="1"/>
    <col min="11785" max="11785" width="7" style="390" customWidth="1"/>
    <col min="11786" max="11786" width="5.140625" style="390" customWidth="1"/>
    <col min="11787" max="11787" width="0" style="390" hidden="1" customWidth="1"/>
    <col min="11788" max="11788" width="17.85546875" style="390" customWidth="1"/>
    <col min="11789" max="11789" width="21.85546875" style="390" customWidth="1"/>
    <col min="11790" max="11790" width="0" style="390" hidden="1" customWidth="1"/>
    <col min="11791" max="11791" width="10.7109375" style="390" customWidth="1"/>
    <col min="11792" max="11803" width="0" style="390" hidden="1" customWidth="1"/>
    <col min="11804" max="11804" width="11.5703125" style="390" customWidth="1"/>
    <col min="11805" max="11808" width="0" style="390" hidden="1" customWidth="1"/>
    <col min="11809" max="11809" width="5" style="390" customWidth="1"/>
    <col min="11810" max="11810" width="5.85546875" style="390" customWidth="1"/>
    <col min="11811" max="11811" width="0" style="390" hidden="1" customWidth="1"/>
    <col min="11812" max="11812" width="5.85546875" style="390" customWidth="1"/>
    <col min="11813" max="11814" width="0" style="390" hidden="1" customWidth="1"/>
    <col min="11815" max="11815" width="11.5703125" style="390" customWidth="1"/>
    <col min="11816" max="11816" width="21.7109375" style="390" customWidth="1"/>
    <col min="11817" max="11817" width="17.28515625" style="390" customWidth="1"/>
    <col min="11818" max="11818" width="0" style="390" hidden="1" customWidth="1"/>
    <col min="11819" max="11819" width="16" style="390" customWidth="1"/>
    <col min="11820" max="11820" width="17.85546875" style="390" customWidth="1"/>
    <col min="11821" max="11821" width="7.7109375" style="390" customWidth="1"/>
    <col min="11822" max="11822" width="0" style="390" hidden="1" customWidth="1"/>
    <col min="11823" max="11823" width="8.140625" style="390" customWidth="1"/>
    <col min="11824" max="11824" width="9.85546875" style="390" customWidth="1"/>
    <col min="11825" max="11825" width="12" style="390" customWidth="1"/>
    <col min="11826" max="11826" width="0" style="390" hidden="1" customWidth="1"/>
    <col min="11827" max="11827" width="3.140625" style="390" customWidth="1"/>
    <col min="11828" max="11829" width="0" style="390" hidden="1" customWidth="1"/>
    <col min="11830" max="11830" width="3.140625" style="390" customWidth="1"/>
    <col min="11831" max="11834" width="0" style="390" hidden="1" customWidth="1"/>
    <col min="11835" max="11835" width="4.5703125" style="390" customWidth="1"/>
    <col min="11836" max="11836" width="8.7109375" style="390" customWidth="1"/>
    <col min="11837" max="11839" width="0" style="390" hidden="1" customWidth="1"/>
    <col min="11840" max="11845" width="4.5703125" style="390" customWidth="1"/>
    <col min="11846" max="11848" width="0" style="390" hidden="1" customWidth="1"/>
    <col min="11849" max="11849" width="30" style="390" customWidth="1"/>
    <col min="11850" max="11930" width="0" style="390" hidden="1" customWidth="1"/>
    <col min="11931" max="11931" width="15.7109375" style="390"/>
    <col min="11932" max="11936" width="0" style="390" hidden="1" customWidth="1"/>
    <col min="11937" max="12032" width="15.7109375" style="390"/>
    <col min="12033" max="12033" width="5.85546875" style="390" customWidth="1"/>
    <col min="12034" max="12034" width="1.85546875" style="390" customWidth="1"/>
    <col min="12035" max="12035" width="3.140625" style="390" customWidth="1"/>
    <col min="12036" max="12036" width="1.7109375" style="390" customWidth="1"/>
    <col min="12037" max="12037" width="4.7109375" style="390" customWidth="1"/>
    <col min="12038" max="12038" width="0.7109375" style="390" customWidth="1"/>
    <col min="12039" max="12039" width="3.85546875" style="390" customWidth="1"/>
    <col min="12040" max="12040" width="1.7109375" style="390" customWidth="1"/>
    <col min="12041" max="12041" width="7" style="390" customWidth="1"/>
    <col min="12042" max="12042" width="5.140625" style="390" customWidth="1"/>
    <col min="12043" max="12043" width="0" style="390" hidden="1" customWidth="1"/>
    <col min="12044" max="12044" width="17.85546875" style="390" customWidth="1"/>
    <col min="12045" max="12045" width="21.85546875" style="390" customWidth="1"/>
    <col min="12046" max="12046" width="0" style="390" hidden="1" customWidth="1"/>
    <col min="12047" max="12047" width="10.7109375" style="390" customWidth="1"/>
    <col min="12048" max="12059" width="0" style="390" hidden="1" customWidth="1"/>
    <col min="12060" max="12060" width="11.5703125" style="390" customWidth="1"/>
    <col min="12061" max="12064" width="0" style="390" hidden="1" customWidth="1"/>
    <col min="12065" max="12065" width="5" style="390" customWidth="1"/>
    <col min="12066" max="12066" width="5.85546875" style="390" customWidth="1"/>
    <col min="12067" max="12067" width="0" style="390" hidden="1" customWidth="1"/>
    <col min="12068" max="12068" width="5.85546875" style="390" customWidth="1"/>
    <col min="12069" max="12070" width="0" style="390" hidden="1" customWidth="1"/>
    <col min="12071" max="12071" width="11.5703125" style="390" customWidth="1"/>
    <col min="12072" max="12072" width="21.7109375" style="390" customWidth="1"/>
    <col min="12073" max="12073" width="17.28515625" style="390" customWidth="1"/>
    <col min="12074" max="12074" width="0" style="390" hidden="1" customWidth="1"/>
    <col min="12075" max="12075" width="16" style="390" customWidth="1"/>
    <col min="12076" max="12076" width="17.85546875" style="390" customWidth="1"/>
    <col min="12077" max="12077" width="7.7109375" style="390" customWidth="1"/>
    <col min="12078" max="12078" width="0" style="390" hidden="1" customWidth="1"/>
    <col min="12079" max="12079" width="8.140625" style="390" customWidth="1"/>
    <col min="12080" max="12080" width="9.85546875" style="390" customWidth="1"/>
    <col min="12081" max="12081" width="12" style="390" customWidth="1"/>
    <col min="12082" max="12082" width="0" style="390" hidden="1" customWidth="1"/>
    <col min="12083" max="12083" width="3.140625" style="390" customWidth="1"/>
    <col min="12084" max="12085" width="0" style="390" hidden="1" customWidth="1"/>
    <col min="12086" max="12086" width="3.140625" style="390" customWidth="1"/>
    <col min="12087" max="12090" width="0" style="390" hidden="1" customWidth="1"/>
    <col min="12091" max="12091" width="4.5703125" style="390" customWidth="1"/>
    <col min="12092" max="12092" width="8.7109375" style="390" customWidth="1"/>
    <col min="12093" max="12095" width="0" style="390" hidden="1" customWidth="1"/>
    <col min="12096" max="12101" width="4.5703125" style="390" customWidth="1"/>
    <col min="12102" max="12104" width="0" style="390" hidden="1" customWidth="1"/>
    <col min="12105" max="12105" width="30" style="390" customWidth="1"/>
    <col min="12106" max="12186" width="0" style="390" hidden="1" customWidth="1"/>
    <col min="12187" max="12187" width="15.7109375" style="390"/>
    <col min="12188" max="12192" width="0" style="390" hidden="1" customWidth="1"/>
    <col min="12193" max="12288" width="15.7109375" style="390"/>
    <col min="12289" max="12289" width="5.85546875" style="390" customWidth="1"/>
    <col min="12290" max="12290" width="1.85546875" style="390" customWidth="1"/>
    <col min="12291" max="12291" width="3.140625" style="390" customWidth="1"/>
    <col min="12292" max="12292" width="1.7109375" style="390" customWidth="1"/>
    <col min="12293" max="12293" width="4.7109375" style="390" customWidth="1"/>
    <col min="12294" max="12294" width="0.7109375" style="390" customWidth="1"/>
    <col min="12295" max="12295" width="3.85546875" style="390" customWidth="1"/>
    <col min="12296" max="12296" width="1.7109375" style="390" customWidth="1"/>
    <col min="12297" max="12297" width="7" style="390" customWidth="1"/>
    <col min="12298" max="12298" width="5.140625" style="390" customWidth="1"/>
    <col min="12299" max="12299" width="0" style="390" hidden="1" customWidth="1"/>
    <col min="12300" max="12300" width="17.85546875" style="390" customWidth="1"/>
    <col min="12301" max="12301" width="21.85546875" style="390" customWidth="1"/>
    <col min="12302" max="12302" width="0" style="390" hidden="1" customWidth="1"/>
    <col min="12303" max="12303" width="10.7109375" style="390" customWidth="1"/>
    <col min="12304" max="12315" width="0" style="390" hidden="1" customWidth="1"/>
    <col min="12316" max="12316" width="11.5703125" style="390" customWidth="1"/>
    <col min="12317" max="12320" width="0" style="390" hidden="1" customWidth="1"/>
    <col min="12321" max="12321" width="5" style="390" customWidth="1"/>
    <col min="12322" max="12322" width="5.85546875" style="390" customWidth="1"/>
    <col min="12323" max="12323" width="0" style="390" hidden="1" customWidth="1"/>
    <col min="12324" max="12324" width="5.85546875" style="390" customWidth="1"/>
    <col min="12325" max="12326" width="0" style="390" hidden="1" customWidth="1"/>
    <col min="12327" max="12327" width="11.5703125" style="390" customWidth="1"/>
    <col min="12328" max="12328" width="21.7109375" style="390" customWidth="1"/>
    <col min="12329" max="12329" width="17.28515625" style="390" customWidth="1"/>
    <col min="12330" max="12330" width="0" style="390" hidden="1" customWidth="1"/>
    <col min="12331" max="12331" width="16" style="390" customWidth="1"/>
    <col min="12332" max="12332" width="17.85546875" style="390" customWidth="1"/>
    <col min="12333" max="12333" width="7.7109375" style="390" customWidth="1"/>
    <col min="12334" max="12334" width="0" style="390" hidden="1" customWidth="1"/>
    <col min="12335" max="12335" width="8.140625" style="390" customWidth="1"/>
    <col min="12336" max="12336" width="9.85546875" style="390" customWidth="1"/>
    <col min="12337" max="12337" width="12" style="390" customWidth="1"/>
    <col min="12338" max="12338" width="0" style="390" hidden="1" customWidth="1"/>
    <col min="12339" max="12339" width="3.140625" style="390" customWidth="1"/>
    <col min="12340" max="12341" width="0" style="390" hidden="1" customWidth="1"/>
    <col min="12342" max="12342" width="3.140625" style="390" customWidth="1"/>
    <col min="12343" max="12346" width="0" style="390" hidden="1" customWidth="1"/>
    <col min="12347" max="12347" width="4.5703125" style="390" customWidth="1"/>
    <col min="12348" max="12348" width="8.7109375" style="390" customWidth="1"/>
    <col min="12349" max="12351" width="0" style="390" hidden="1" customWidth="1"/>
    <col min="12352" max="12357" width="4.5703125" style="390" customWidth="1"/>
    <col min="12358" max="12360" width="0" style="390" hidden="1" customWidth="1"/>
    <col min="12361" max="12361" width="30" style="390" customWidth="1"/>
    <col min="12362" max="12442" width="0" style="390" hidden="1" customWidth="1"/>
    <col min="12443" max="12443" width="15.7109375" style="390"/>
    <col min="12444" max="12448" width="0" style="390" hidden="1" customWidth="1"/>
    <col min="12449" max="12544" width="15.7109375" style="390"/>
    <col min="12545" max="12545" width="5.85546875" style="390" customWidth="1"/>
    <col min="12546" max="12546" width="1.85546875" style="390" customWidth="1"/>
    <col min="12547" max="12547" width="3.140625" style="390" customWidth="1"/>
    <col min="12548" max="12548" width="1.7109375" style="390" customWidth="1"/>
    <col min="12549" max="12549" width="4.7109375" style="390" customWidth="1"/>
    <col min="12550" max="12550" width="0.7109375" style="390" customWidth="1"/>
    <col min="12551" max="12551" width="3.85546875" style="390" customWidth="1"/>
    <col min="12552" max="12552" width="1.7109375" style="390" customWidth="1"/>
    <col min="12553" max="12553" width="7" style="390" customWidth="1"/>
    <col min="12554" max="12554" width="5.140625" style="390" customWidth="1"/>
    <col min="12555" max="12555" width="0" style="390" hidden="1" customWidth="1"/>
    <col min="12556" max="12556" width="17.85546875" style="390" customWidth="1"/>
    <col min="12557" max="12557" width="21.85546875" style="390" customWidth="1"/>
    <col min="12558" max="12558" width="0" style="390" hidden="1" customWidth="1"/>
    <col min="12559" max="12559" width="10.7109375" style="390" customWidth="1"/>
    <col min="12560" max="12571" width="0" style="390" hidden="1" customWidth="1"/>
    <col min="12572" max="12572" width="11.5703125" style="390" customWidth="1"/>
    <col min="12573" max="12576" width="0" style="390" hidden="1" customWidth="1"/>
    <col min="12577" max="12577" width="5" style="390" customWidth="1"/>
    <col min="12578" max="12578" width="5.85546875" style="390" customWidth="1"/>
    <col min="12579" max="12579" width="0" style="390" hidden="1" customWidth="1"/>
    <col min="12580" max="12580" width="5.85546875" style="390" customWidth="1"/>
    <col min="12581" max="12582" width="0" style="390" hidden="1" customWidth="1"/>
    <col min="12583" max="12583" width="11.5703125" style="390" customWidth="1"/>
    <col min="12584" max="12584" width="21.7109375" style="390" customWidth="1"/>
    <col min="12585" max="12585" width="17.28515625" style="390" customWidth="1"/>
    <col min="12586" max="12586" width="0" style="390" hidden="1" customWidth="1"/>
    <col min="12587" max="12587" width="16" style="390" customWidth="1"/>
    <col min="12588" max="12588" width="17.85546875" style="390" customWidth="1"/>
    <col min="12589" max="12589" width="7.7109375" style="390" customWidth="1"/>
    <col min="12590" max="12590" width="0" style="390" hidden="1" customWidth="1"/>
    <col min="12591" max="12591" width="8.140625" style="390" customWidth="1"/>
    <col min="12592" max="12592" width="9.85546875" style="390" customWidth="1"/>
    <col min="12593" max="12593" width="12" style="390" customWidth="1"/>
    <col min="12594" max="12594" width="0" style="390" hidden="1" customWidth="1"/>
    <col min="12595" max="12595" width="3.140625" style="390" customWidth="1"/>
    <col min="12596" max="12597" width="0" style="390" hidden="1" customWidth="1"/>
    <col min="12598" max="12598" width="3.140625" style="390" customWidth="1"/>
    <col min="12599" max="12602" width="0" style="390" hidden="1" customWidth="1"/>
    <col min="12603" max="12603" width="4.5703125" style="390" customWidth="1"/>
    <col min="12604" max="12604" width="8.7109375" style="390" customWidth="1"/>
    <col min="12605" max="12607" width="0" style="390" hidden="1" customWidth="1"/>
    <col min="12608" max="12613" width="4.5703125" style="390" customWidth="1"/>
    <col min="12614" max="12616" width="0" style="390" hidden="1" customWidth="1"/>
    <col min="12617" max="12617" width="30" style="390" customWidth="1"/>
    <col min="12618" max="12698" width="0" style="390" hidden="1" customWidth="1"/>
    <col min="12699" max="12699" width="15.7109375" style="390"/>
    <col min="12700" max="12704" width="0" style="390" hidden="1" customWidth="1"/>
    <col min="12705" max="12800" width="15.7109375" style="390"/>
    <col min="12801" max="12801" width="5.85546875" style="390" customWidth="1"/>
    <col min="12802" max="12802" width="1.85546875" style="390" customWidth="1"/>
    <col min="12803" max="12803" width="3.140625" style="390" customWidth="1"/>
    <col min="12804" max="12804" width="1.7109375" style="390" customWidth="1"/>
    <col min="12805" max="12805" width="4.7109375" style="390" customWidth="1"/>
    <col min="12806" max="12806" width="0.7109375" style="390" customWidth="1"/>
    <col min="12807" max="12807" width="3.85546875" style="390" customWidth="1"/>
    <col min="12808" max="12808" width="1.7109375" style="390" customWidth="1"/>
    <col min="12809" max="12809" width="7" style="390" customWidth="1"/>
    <col min="12810" max="12810" width="5.140625" style="390" customWidth="1"/>
    <col min="12811" max="12811" width="0" style="390" hidden="1" customWidth="1"/>
    <col min="12812" max="12812" width="17.85546875" style="390" customWidth="1"/>
    <col min="12813" max="12813" width="21.85546875" style="390" customWidth="1"/>
    <col min="12814" max="12814" width="0" style="390" hidden="1" customWidth="1"/>
    <col min="12815" max="12815" width="10.7109375" style="390" customWidth="1"/>
    <col min="12816" max="12827" width="0" style="390" hidden="1" customWidth="1"/>
    <col min="12828" max="12828" width="11.5703125" style="390" customWidth="1"/>
    <col min="12829" max="12832" width="0" style="390" hidden="1" customWidth="1"/>
    <col min="12833" max="12833" width="5" style="390" customWidth="1"/>
    <col min="12834" max="12834" width="5.85546875" style="390" customWidth="1"/>
    <col min="12835" max="12835" width="0" style="390" hidden="1" customWidth="1"/>
    <col min="12836" max="12836" width="5.85546875" style="390" customWidth="1"/>
    <col min="12837" max="12838" width="0" style="390" hidden="1" customWidth="1"/>
    <col min="12839" max="12839" width="11.5703125" style="390" customWidth="1"/>
    <col min="12840" max="12840" width="21.7109375" style="390" customWidth="1"/>
    <col min="12841" max="12841" width="17.28515625" style="390" customWidth="1"/>
    <col min="12842" max="12842" width="0" style="390" hidden="1" customWidth="1"/>
    <col min="12843" max="12843" width="16" style="390" customWidth="1"/>
    <col min="12844" max="12844" width="17.85546875" style="390" customWidth="1"/>
    <col min="12845" max="12845" width="7.7109375" style="390" customWidth="1"/>
    <col min="12846" max="12846" width="0" style="390" hidden="1" customWidth="1"/>
    <col min="12847" max="12847" width="8.140625" style="390" customWidth="1"/>
    <col min="12848" max="12848" width="9.85546875" style="390" customWidth="1"/>
    <col min="12849" max="12849" width="12" style="390" customWidth="1"/>
    <col min="12850" max="12850" width="0" style="390" hidden="1" customWidth="1"/>
    <col min="12851" max="12851" width="3.140625" style="390" customWidth="1"/>
    <col min="12852" max="12853" width="0" style="390" hidden="1" customWidth="1"/>
    <col min="12854" max="12854" width="3.140625" style="390" customWidth="1"/>
    <col min="12855" max="12858" width="0" style="390" hidden="1" customWidth="1"/>
    <col min="12859" max="12859" width="4.5703125" style="390" customWidth="1"/>
    <col min="12860" max="12860" width="8.7109375" style="390" customWidth="1"/>
    <col min="12861" max="12863" width="0" style="390" hidden="1" customWidth="1"/>
    <col min="12864" max="12869" width="4.5703125" style="390" customWidth="1"/>
    <col min="12870" max="12872" width="0" style="390" hidden="1" customWidth="1"/>
    <col min="12873" max="12873" width="30" style="390" customWidth="1"/>
    <col min="12874" max="12954" width="0" style="390" hidden="1" customWidth="1"/>
    <col min="12955" max="12955" width="15.7109375" style="390"/>
    <col min="12956" max="12960" width="0" style="390" hidden="1" customWidth="1"/>
    <col min="12961" max="13056" width="15.7109375" style="390"/>
    <col min="13057" max="13057" width="5.85546875" style="390" customWidth="1"/>
    <col min="13058" max="13058" width="1.85546875" style="390" customWidth="1"/>
    <col min="13059" max="13059" width="3.140625" style="390" customWidth="1"/>
    <col min="13060" max="13060" width="1.7109375" style="390" customWidth="1"/>
    <col min="13061" max="13061" width="4.7109375" style="390" customWidth="1"/>
    <col min="13062" max="13062" width="0.7109375" style="390" customWidth="1"/>
    <col min="13063" max="13063" width="3.85546875" style="390" customWidth="1"/>
    <col min="13064" max="13064" width="1.7109375" style="390" customWidth="1"/>
    <col min="13065" max="13065" width="7" style="390" customWidth="1"/>
    <col min="13066" max="13066" width="5.140625" style="390" customWidth="1"/>
    <col min="13067" max="13067" width="0" style="390" hidden="1" customWidth="1"/>
    <col min="13068" max="13068" width="17.85546875" style="390" customWidth="1"/>
    <col min="13069" max="13069" width="21.85546875" style="390" customWidth="1"/>
    <col min="13070" max="13070" width="0" style="390" hidden="1" customWidth="1"/>
    <col min="13071" max="13071" width="10.7109375" style="390" customWidth="1"/>
    <col min="13072" max="13083" width="0" style="390" hidden="1" customWidth="1"/>
    <col min="13084" max="13084" width="11.5703125" style="390" customWidth="1"/>
    <col min="13085" max="13088" width="0" style="390" hidden="1" customWidth="1"/>
    <col min="13089" max="13089" width="5" style="390" customWidth="1"/>
    <col min="13090" max="13090" width="5.85546875" style="390" customWidth="1"/>
    <col min="13091" max="13091" width="0" style="390" hidden="1" customWidth="1"/>
    <col min="13092" max="13092" width="5.85546875" style="390" customWidth="1"/>
    <col min="13093" max="13094" width="0" style="390" hidden="1" customWidth="1"/>
    <col min="13095" max="13095" width="11.5703125" style="390" customWidth="1"/>
    <col min="13096" max="13096" width="21.7109375" style="390" customWidth="1"/>
    <col min="13097" max="13097" width="17.28515625" style="390" customWidth="1"/>
    <col min="13098" max="13098" width="0" style="390" hidden="1" customWidth="1"/>
    <col min="13099" max="13099" width="16" style="390" customWidth="1"/>
    <col min="13100" max="13100" width="17.85546875" style="390" customWidth="1"/>
    <col min="13101" max="13101" width="7.7109375" style="390" customWidth="1"/>
    <col min="13102" max="13102" width="0" style="390" hidden="1" customWidth="1"/>
    <col min="13103" max="13103" width="8.140625" style="390" customWidth="1"/>
    <col min="13104" max="13104" width="9.85546875" style="390" customWidth="1"/>
    <col min="13105" max="13105" width="12" style="390" customWidth="1"/>
    <col min="13106" max="13106" width="0" style="390" hidden="1" customWidth="1"/>
    <col min="13107" max="13107" width="3.140625" style="390" customWidth="1"/>
    <col min="13108" max="13109" width="0" style="390" hidden="1" customWidth="1"/>
    <col min="13110" max="13110" width="3.140625" style="390" customWidth="1"/>
    <col min="13111" max="13114" width="0" style="390" hidden="1" customWidth="1"/>
    <col min="13115" max="13115" width="4.5703125" style="390" customWidth="1"/>
    <col min="13116" max="13116" width="8.7109375" style="390" customWidth="1"/>
    <col min="13117" max="13119" width="0" style="390" hidden="1" customWidth="1"/>
    <col min="13120" max="13125" width="4.5703125" style="390" customWidth="1"/>
    <col min="13126" max="13128" width="0" style="390" hidden="1" customWidth="1"/>
    <col min="13129" max="13129" width="30" style="390" customWidth="1"/>
    <col min="13130" max="13210" width="0" style="390" hidden="1" customWidth="1"/>
    <col min="13211" max="13211" width="15.7109375" style="390"/>
    <col min="13212" max="13216" width="0" style="390" hidden="1" customWidth="1"/>
    <col min="13217" max="13312" width="15.7109375" style="390"/>
    <col min="13313" max="13313" width="5.85546875" style="390" customWidth="1"/>
    <col min="13314" max="13314" width="1.85546875" style="390" customWidth="1"/>
    <col min="13315" max="13315" width="3.140625" style="390" customWidth="1"/>
    <col min="13316" max="13316" width="1.7109375" style="390" customWidth="1"/>
    <col min="13317" max="13317" width="4.7109375" style="390" customWidth="1"/>
    <col min="13318" max="13318" width="0.7109375" style="390" customWidth="1"/>
    <col min="13319" max="13319" width="3.85546875" style="390" customWidth="1"/>
    <col min="13320" max="13320" width="1.7109375" style="390" customWidth="1"/>
    <col min="13321" max="13321" width="7" style="390" customWidth="1"/>
    <col min="13322" max="13322" width="5.140625" style="390" customWidth="1"/>
    <col min="13323" max="13323" width="0" style="390" hidden="1" customWidth="1"/>
    <col min="13324" max="13324" width="17.85546875" style="390" customWidth="1"/>
    <col min="13325" max="13325" width="21.85546875" style="390" customWidth="1"/>
    <col min="13326" max="13326" width="0" style="390" hidden="1" customWidth="1"/>
    <col min="13327" max="13327" width="10.7109375" style="390" customWidth="1"/>
    <col min="13328" max="13339" width="0" style="390" hidden="1" customWidth="1"/>
    <col min="13340" max="13340" width="11.5703125" style="390" customWidth="1"/>
    <col min="13341" max="13344" width="0" style="390" hidden="1" customWidth="1"/>
    <col min="13345" max="13345" width="5" style="390" customWidth="1"/>
    <col min="13346" max="13346" width="5.85546875" style="390" customWidth="1"/>
    <col min="13347" max="13347" width="0" style="390" hidden="1" customWidth="1"/>
    <col min="13348" max="13348" width="5.85546875" style="390" customWidth="1"/>
    <col min="13349" max="13350" width="0" style="390" hidden="1" customWidth="1"/>
    <col min="13351" max="13351" width="11.5703125" style="390" customWidth="1"/>
    <col min="13352" max="13352" width="21.7109375" style="390" customWidth="1"/>
    <col min="13353" max="13353" width="17.28515625" style="390" customWidth="1"/>
    <col min="13354" max="13354" width="0" style="390" hidden="1" customWidth="1"/>
    <col min="13355" max="13355" width="16" style="390" customWidth="1"/>
    <col min="13356" max="13356" width="17.85546875" style="390" customWidth="1"/>
    <col min="13357" max="13357" width="7.7109375" style="390" customWidth="1"/>
    <col min="13358" max="13358" width="0" style="390" hidden="1" customWidth="1"/>
    <col min="13359" max="13359" width="8.140625" style="390" customWidth="1"/>
    <col min="13360" max="13360" width="9.85546875" style="390" customWidth="1"/>
    <col min="13361" max="13361" width="12" style="390" customWidth="1"/>
    <col min="13362" max="13362" width="0" style="390" hidden="1" customWidth="1"/>
    <col min="13363" max="13363" width="3.140625" style="390" customWidth="1"/>
    <col min="13364" max="13365" width="0" style="390" hidden="1" customWidth="1"/>
    <col min="13366" max="13366" width="3.140625" style="390" customWidth="1"/>
    <col min="13367" max="13370" width="0" style="390" hidden="1" customWidth="1"/>
    <col min="13371" max="13371" width="4.5703125" style="390" customWidth="1"/>
    <col min="13372" max="13372" width="8.7109375" style="390" customWidth="1"/>
    <col min="13373" max="13375" width="0" style="390" hidden="1" customWidth="1"/>
    <col min="13376" max="13381" width="4.5703125" style="390" customWidth="1"/>
    <col min="13382" max="13384" width="0" style="390" hidden="1" customWidth="1"/>
    <col min="13385" max="13385" width="30" style="390" customWidth="1"/>
    <col min="13386" max="13466" width="0" style="390" hidden="1" customWidth="1"/>
    <col min="13467" max="13467" width="15.7109375" style="390"/>
    <col min="13468" max="13472" width="0" style="390" hidden="1" customWidth="1"/>
    <col min="13473" max="13568" width="15.7109375" style="390"/>
    <col min="13569" max="13569" width="5.85546875" style="390" customWidth="1"/>
    <col min="13570" max="13570" width="1.85546875" style="390" customWidth="1"/>
    <col min="13571" max="13571" width="3.140625" style="390" customWidth="1"/>
    <col min="13572" max="13572" width="1.7109375" style="390" customWidth="1"/>
    <col min="13573" max="13573" width="4.7109375" style="390" customWidth="1"/>
    <col min="13574" max="13574" width="0.7109375" style="390" customWidth="1"/>
    <col min="13575" max="13575" width="3.85546875" style="390" customWidth="1"/>
    <col min="13576" max="13576" width="1.7109375" style="390" customWidth="1"/>
    <col min="13577" max="13577" width="7" style="390" customWidth="1"/>
    <col min="13578" max="13578" width="5.140625" style="390" customWidth="1"/>
    <col min="13579" max="13579" width="0" style="390" hidden="1" customWidth="1"/>
    <col min="13580" max="13580" width="17.85546875" style="390" customWidth="1"/>
    <col min="13581" max="13581" width="21.85546875" style="390" customWidth="1"/>
    <col min="13582" max="13582" width="0" style="390" hidden="1" customWidth="1"/>
    <col min="13583" max="13583" width="10.7109375" style="390" customWidth="1"/>
    <col min="13584" max="13595" width="0" style="390" hidden="1" customWidth="1"/>
    <col min="13596" max="13596" width="11.5703125" style="390" customWidth="1"/>
    <col min="13597" max="13600" width="0" style="390" hidden="1" customWidth="1"/>
    <col min="13601" max="13601" width="5" style="390" customWidth="1"/>
    <col min="13602" max="13602" width="5.85546875" style="390" customWidth="1"/>
    <col min="13603" max="13603" width="0" style="390" hidden="1" customWidth="1"/>
    <col min="13604" max="13604" width="5.85546875" style="390" customWidth="1"/>
    <col min="13605" max="13606" width="0" style="390" hidden="1" customWidth="1"/>
    <col min="13607" max="13607" width="11.5703125" style="390" customWidth="1"/>
    <col min="13608" max="13608" width="21.7109375" style="390" customWidth="1"/>
    <col min="13609" max="13609" width="17.28515625" style="390" customWidth="1"/>
    <col min="13610" max="13610" width="0" style="390" hidden="1" customWidth="1"/>
    <col min="13611" max="13611" width="16" style="390" customWidth="1"/>
    <col min="13612" max="13612" width="17.85546875" style="390" customWidth="1"/>
    <col min="13613" max="13613" width="7.7109375" style="390" customWidth="1"/>
    <col min="13614" max="13614" width="0" style="390" hidden="1" customWidth="1"/>
    <col min="13615" max="13615" width="8.140625" style="390" customWidth="1"/>
    <col min="13616" max="13616" width="9.85546875" style="390" customWidth="1"/>
    <col min="13617" max="13617" width="12" style="390" customWidth="1"/>
    <col min="13618" max="13618" width="0" style="390" hidden="1" customWidth="1"/>
    <col min="13619" max="13619" width="3.140625" style="390" customWidth="1"/>
    <col min="13620" max="13621" width="0" style="390" hidden="1" customWidth="1"/>
    <col min="13622" max="13622" width="3.140625" style="390" customWidth="1"/>
    <col min="13623" max="13626" width="0" style="390" hidden="1" customWidth="1"/>
    <col min="13627" max="13627" width="4.5703125" style="390" customWidth="1"/>
    <col min="13628" max="13628" width="8.7109375" style="390" customWidth="1"/>
    <col min="13629" max="13631" width="0" style="390" hidden="1" customWidth="1"/>
    <col min="13632" max="13637" width="4.5703125" style="390" customWidth="1"/>
    <col min="13638" max="13640" width="0" style="390" hidden="1" customWidth="1"/>
    <col min="13641" max="13641" width="30" style="390" customWidth="1"/>
    <col min="13642" max="13722" width="0" style="390" hidden="1" customWidth="1"/>
    <col min="13723" max="13723" width="15.7109375" style="390"/>
    <col min="13724" max="13728" width="0" style="390" hidden="1" customWidth="1"/>
    <col min="13729" max="13824" width="15.7109375" style="390"/>
    <col min="13825" max="13825" width="5.85546875" style="390" customWidth="1"/>
    <col min="13826" max="13826" width="1.85546875" style="390" customWidth="1"/>
    <col min="13827" max="13827" width="3.140625" style="390" customWidth="1"/>
    <col min="13828" max="13828" width="1.7109375" style="390" customWidth="1"/>
    <col min="13829" max="13829" width="4.7109375" style="390" customWidth="1"/>
    <col min="13830" max="13830" width="0.7109375" style="390" customWidth="1"/>
    <col min="13831" max="13831" width="3.85546875" style="390" customWidth="1"/>
    <col min="13832" max="13832" width="1.7109375" style="390" customWidth="1"/>
    <col min="13833" max="13833" width="7" style="390" customWidth="1"/>
    <col min="13834" max="13834" width="5.140625" style="390" customWidth="1"/>
    <col min="13835" max="13835" width="0" style="390" hidden="1" customWidth="1"/>
    <col min="13836" max="13836" width="17.85546875" style="390" customWidth="1"/>
    <col min="13837" max="13837" width="21.85546875" style="390" customWidth="1"/>
    <col min="13838" max="13838" width="0" style="390" hidden="1" customWidth="1"/>
    <col min="13839" max="13839" width="10.7109375" style="390" customWidth="1"/>
    <col min="13840" max="13851" width="0" style="390" hidden="1" customWidth="1"/>
    <col min="13852" max="13852" width="11.5703125" style="390" customWidth="1"/>
    <col min="13853" max="13856" width="0" style="390" hidden="1" customWidth="1"/>
    <col min="13857" max="13857" width="5" style="390" customWidth="1"/>
    <col min="13858" max="13858" width="5.85546875" style="390" customWidth="1"/>
    <col min="13859" max="13859" width="0" style="390" hidden="1" customWidth="1"/>
    <col min="13860" max="13860" width="5.85546875" style="390" customWidth="1"/>
    <col min="13861" max="13862" width="0" style="390" hidden="1" customWidth="1"/>
    <col min="13863" max="13863" width="11.5703125" style="390" customWidth="1"/>
    <col min="13864" max="13864" width="21.7109375" style="390" customWidth="1"/>
    <col min="13865" max="13865" width="17.28515625" style="390" customWidth="1"/>
    <col min="13866" max="13866" width="0" style="390" hidden="1" customWidth="1"/>
    <col min="13867" max="13867" width="16" style="390" customWidth="1"/>
    <col min="13868" max="13868" width="17.85546875" style="390" customWidth="1"/>
    <col min="13869" max="13869" width="7.7109375" style="390" customWidth="1"/>
    <col min="13870" max="13870" width="0" style="390" hidden="1" customWidth="1"/>
    <col min="13871" max="13871" width="8.140625" style="390" customWidth="1"/>
    <col min="13872" max="13872" width="9.85546875" style="390" customWidth="1"/>
    <col min="13873" max="13873" width="12" style="390" customWidth="1"/>
    <col min="13874" max="13874" width="0" style="390" hidden="1" customWidth="1"/>
    <col min="13875" max="13875" width="3.140625" style="390" customWidth="1"/>
    <col min="13876" max="13877" width="0" style="390" hidden="1" customWidth="1"/>
    <col min="13878" max="13878" width="3.140625" style="390" customWidth="1"/>
    <col min="13879" max="13882" width="0" style="390" hidden="1" customWidth="1"/>
    <col min="13883" max="13883" width="4.5703125" style="390" customWidth="1"/>
    <col min="13884" max="13884" width="8.7109375" style="390" customWidth="1"/>
    <col min="13885" max="13887" width="0" style="390" hidden="1" customWidth="1"/>
    <col min="13888" max="13893" width="4.5703125" style="390" customWidth="1"/>
    <col min="13894" max="13896" width="0" style="390" hidden="1" customWidth="1"/>
    <col min="13897" max="13897" width="30" style="390" customWidth="1"/>
    <col min="13898" max="13978" width="0" style="390" hidden="1" customWidth="1"/>
    <col min="13979" max="13979" width="15.7109375" style="390"/>
    <col min="13980" max="13984" width="0" style="390" hidden="1" customWidth="1"/>
    <col min="13985" max="14080" width="15.7109375" style="390"/>
    <col min="14081" max="14081" width="5.85546875" style="390" customWidth="1"/>
    <col min="14082" max="14082" width="1.85546875" style="390" customWidth="1"/>
    <col min="14083" max="14083" width="3.140625" style="390" customWidth="1"/>
    <col min="14084" max="14084" width="1.7109375" style="390" customWidth="1"/>
    <col min="14085" max="14085" width="4.7109375" style="390" customWidth="1"/>
    <col min="14086" max="14086" width="0.7109375" style="390" customWidth="1"/>
    <col min="14087" max="14087" width="3.85546875" style="390" customWidth="1"/>
    <col min="14088" max="14088" width="1.7109375" style="390" customWidth="1"/>
    <col min="14089" max="14089" width="7" style="390" customWidth="1"/>
    <col min="14090" max="14090" width="5.140625" style="390" customWidth="1"/>
    <col min="14091" max="14091" width="0" style="390" hidden="1" customWidth="1"/>
    <col min="14092" max="14092" width="17.85546875" style="390" customWidth="1"/>
    <col min="14093" max="14093" width="21.85546875" style="390" customWidth="1"/>
    <col min="14094" max="14094" width="0" style="390" hidden="1" customWidth="1"/>
    <col min="14095" max="14095" width="10.7109375" style="390" customWidth="1"/>
    <col min="14096" max="14107" width="0" style="390" hidden="1" customWidth="1"/>
    <col min="14108" max="14108" width="11.5703125" style="390" customWidth="1"/>
    <col min="14109" max="14112" width="0" style="390" hidden="1" customWidth="1"/>
    <col min="14113" max="14113" width="5" style="390" customWidth="1"/>
    <col min="14114" max="14114" width="5.85546875" style="390" customWidth="1"/>
    <col min="14115" max="14115" width="0" style="390" hidden="1" customWidth="1"/>
    <col min="14116" max="14116" width="5.85546875" style="390" customWidth="1"/>
    <col min="14117" max="14118" width="0" style="390" hidden="1" customWidth="1"/>
    <col min="14119" max="14119" width="11.5703125" style="390" customWidth="1"/>
    <col min="14120" max="14120" width="21.7109375" style="390" customWidth="1"/>
    <col min="14121" max="14121" width="17.28515625" style="390" customWidth="1"/>
    <col min="14122" max="14122" width="0" style="390" hidden="1" customWidth="1"/>
    <col min="14123" max="14123" width="16" style="390" customWidth="1"/>
    <col min="14124" max="14124" width="17.85546875" style="390" customWidth="1"/>
    <col min="14125" max="14125" width="7.7109375" style="390" customWidth="1"/>
    <col min="14126" max="14126" width="0" style="390" hidden="1" customWidth="1"/>
    <col min="14127" max="14127" width="8.140625" style="390" customWidth="1"/>
    <col min="14128" max="14128" width="9.85546875" style="390" customWidth="1"/>
    <col min="14129" max="14129" width="12" style="390" customWidth="1"/>
    <col min="14130" max="14130" width="0" style="390" hidden="1" customWidth="1"/>
    <col min="14131" max="14131" width="3.140625" style="390" customWidth="1"/>
    <col min="14132" max="14133" width="0" style="390" hidden="1" customWidth="1"/>
    <col min="14134" max="14134" width="3.140625" style="390" customWidth="1"/>
    <col min="14135" max="14138" width="0" style="390" hidden="1" customWidth="1"/>
    <col min="14139" max="14139" width="4.5703125" style="390" customWidth="1"/>
    <col min="14140" max="14140" width="8.7109375" style="390" customWidth="1"/>
    <col min="14141" max="14143" width="0" style="390" hidden="1" customWidth="1"/>
    <col min="14144" max="14149" width="4.5703125" style="390" customWidth="1"/>
    <col min="14150" max="14152" width="0" style="390" hidden="1" customWidth="1"/>
    <col min="14153" max="14153" width="30" style="390" customWidth="1"/>
    <col min="14154" max="14234" width="0" style="390" hidden="1" customWidth="1"/>
    <col min="14235" max="14235" width="15.7109375" style="390"/>
    <col min="14236" max="14240" width="0" style="390" hidden="1" customWidth="1"/>
    <col min="14241" max="14336" width="15.7109375" style="390"/>
    <col min="14337" max="14337" width="5.85546875" style="390" customWidth="1"/>
    <col min="14338" max="14338" width="1.85546875" style="390" customWidth="1"/>
    <col min="14339" max="14339" width="3.140625" style="390" customWidth="1"/>
    <col min="14340" max="14340" width="1.7109375" style="390" customWidth="1"/>
    <col min="14341" max="14341" width="4.7109375" style="390" customWidth="1"/>
    <col min="14342" max="14342" width="0.7109375" style="390" customWidth="1"/>
    <col min="14343" max="14343" width="3.85546875" style="390" customWidth="1"/>
    <col min="14344" max="14344" width="1.7109375" style="390" customWidth="1"/>
    <col min="14345" max="14345" width="7" style="390" customWidth="1"/>
    <col min="14346" max="14346" width="5.140625" style="390" customWidth="1"/>
    <col min="14347" max="14347" width="0" style="390" hidden="1" customWidth="1"/>
    <col min="14348" max="14348" width="17.85546875" style="390" customWidth="1"/>
    <col min="14349" max="14349" width="21.85546875" style="390" customWidth="1"/>
    <col min="14350" max="14350" width="0" style="390" hidden="1" customWidth="1"/>
    <col min="14351" max="14351" width="10.7109375" style="390" customWidth="1"/>
    <col min="14352" max="14363" width="0" style="390" hidden="1" customWidth="1"/>
    <col min="14364" max="14364" width="11.5703125" style="390" customWidth="1"/>
    <col min="14365" max="14368" width="0" style="390" hidden="1" customWidth="1"/>
    <col min="14369" max="14369" width="5" style="390" customWidth="1"/>
    <col min="14370" max="14370" width="5.85546875" style="390" customWidth="1"/>
    <col min="14371" max="14371" width="0" style="390" hidden="1" customWidth="1"/>
    <col min="14372" max="14372" width="5.85546875" style="390" customWidth="1"/>
    <col min="14373" max="14374" width="0" style="390" hidden="1" customWidth="1"/>
    <col min="14375" max="14375" width="11.5703125" style="390" customWidth="1"/>
    <col min="14376" max="14376" width="21.7109375" style="390" customWidth="1"/>
    <col min="14377" max="14377" width="17.28515625" style="390" customWidth="1"/>
    <col min="14378" max="14378" width="0" style="390" hidden="1" customWidth="1"/>
    <col min="14379" max="14379" width="16" style="390" customWidth="1"/>
    <col min="14380" max="14380" width="17.85546875" style="390" customWidth="1"/>
    <col min="14381" max="14381" width="7.7109375" style="390" customWidth="1"/>
    <col min="14382" max="14382" width="0" style="390" hidden="1" customWidth="1"/>
    <col min="14383" max="14383" width="8.140625" style="390" customWidth="1"/>
    <col min="14384" max="14384" width="9.85546875" style="390" customWidth="1"/>
    <col min="14385" max="14385" width="12" style="390" customWidth="1"/>
    <col min="14386" max="14386" width="0" style="390" hidden="1" customWidth="1"/>
    <col min="14387" max="14387" width="3.140625" style="390" customWidth="1"/>
    <col min="14388" max="14389" width="0" style="390" hidden="1" customWidth="1"/>
    <col min="14390" max="14390" width="3.140625" style="390" customWidth="1"/>
    <col min="14391" max="14394" width="0" style="390" hidden="1" customWidth="1"/>
    <col min="14395" max="14395" width="4.5703125" style="390" customWidth="1"/>
    <col min="14396" max="14396" width="8.7109375" style="390" customWidth="1"/>
    <col min="14397" max="14399" width="0" style="390" hidden="1" customWidth="1"/>
    <col min="14400" max="14405" width="4.5703125" style="390" customWidth="1"/>
    <col min="14406" max="14408" width="0" style="390" hidden="1" customWidth="1"/>
    <col min="14409" max="14409" width="30" style="390" customWidth="1"/>
    <col min="14410" max="14490" width="0" style="390" hidden="1" customWidth="1"/>
    <col min="14491" max="14491" width="15.7109375" style="390"/>
    <col min="14492" max="14496" width="0" style="390" hidden="1" customWidth="1"/>
    <col min="14497" max="14592" width="15.7109375" style="390"/>
    <col min="14593" max="14593" width="5.85546875" style="390" customWidth="1"/>
    <col min="14594" max="14594" width="1.85546875" style="390" customWidth="1"/>
    <col min="14595" max="14595" width="3.140625" style="390" customWidth="1"/>
    <col min="14596" max="14596" width="1.7109375" style="390" customWidth="1"/>
    <col min="14597" max="14597" width="4.7109375" style="390" customWidth="1"/>
    <col min="14598" max="14598" width="0.7109375" style="390" customWidth="1"/>
    <col min="14599" max="14599" width="3.85546875" style="390" customWidth="1"/>
    <col min="14600" max="14600" width="1.7109375" style="390" customWidth="1"/>
    <col min="14601" max="14601" width="7" style="390" customWidth="1"/>
    <col min="14602" max="14602" width="5.140625" style="390" customWidth="1"/>
    <col min="14603" max="14603" width="0" style="390" hidden="1" customWidth="1"/>
    <col min="14604" max="14604" width="17.85546875" style="390" customWidth="1"/>
    <col min="14605" max="14605" width="21.85546875" style="390" customWidth="1"/>
    <col min="14606" max="14606" width="0" style="390" hidden="1" customWidth="1"/>
    <col min="14607" max="14607" width="10.7109375" style="390" customWidth="1"/>
    <col min="14608" max="14619" width="0" style="390" hidden="1" customWidth="1"/>
    <col min="14620" max="14620" width="11.5703125" style="390" customWidth="1"/>
    <col min="14621" max="14624" width="0" style="390" hidden="1" customWidth="1"/>
    <col min="14625" max="14625" width="5" style="390" customWidth="1"/>
    <col min="14626" max="14626" width="5.85546875" style="390" customWidth="1"/>
    <col min="14627" max="14627" width="0" style="390" hidden="1" customWidth="1"/>
    <col min="14628" max="14628" width="5.85546875" style="390" customWidth="1"/>
    <col min="14629" max="14630" width="0" style="390" hidden="1" customWidth="1"/>
    <col min="14631" max="14631" width="11.5703125" style="390" customWidth="1"/>
    <col min="14632" max="14632" width="21.7109375" style="390" customWidth="1"/>
    <col min="14633" max="14633" width="17.28515625" style="390" customWidth="1"/>
    <col min="14634" max="14634" width="0" style="390" hidden="1" customWidth="1"/>
    <col min="14635" max="14635" width="16" style="390" customWidth="1"/>
    <col min="14636" max="14636" width="17.85546875" style="390" customWidth="1"/>
    <col min="14637" max="14637" width="7.7109375" style="390" customWidth="1"/>
    <col min="14638" max="14638" width="0" style="390" hidden="1" customWidth="1"/>
    <col min="14639" max="14639" width="8.140625" style="390" customWidth="1"/>
    <col min="14640" max="14640" width="9.85546875" style="390" customWidth="1"/>
    <col min="14641" max="14641" width="12" style="390" customWidth="1"/>
    <col min="14642" max="14642" width="0" style="390" hidden="1" customWidth="1"/>
    <col min="14643" max="14643" width="3.140625" style="390" customWidth="1"/>
    <col min="14644" max="14645" width="0" style="390" hidden="1" customWidth="1"/>
    <col min="14646" max="14646" width="3.140625" style="390" customWidth="1"/>
    <col min="14647" max="14650" width="0" style="390" hidden="1" customWidth="1"/>
    <col min="14651" max="14651" width="4.5703125" style="390" customWidth="1"/>
    <col min="14652" max="14652" width="8.7109375" style="390" customWidth="1"/>
    <col min="14653" max="14655" width="0" style="390" hidden="1" customWidth="1"/>
    <col min="14656" max="14661" width="4.5703125" style="390" customWidth="1"/>
    <col min="14662" max="14664" width="0" style="390" hidden="1" customWidth="1"/>
    <col min="14665" max="14665" width="30" style="390" customWidth="1"/>
    <col min="14666" max="14746" width="0" style="390" hidden="1" customWidth="1"/>
    <col min="14747" max="14747" width="15.7109375" style="390"/>
    <col min="14748" max="14752" width="0" style="390" hidden="1" customWidth="1"/>
    <col min="14753" max="14848" width="15.7109375" style="390"/>
    <col min="14849" max="14849" width="5.85546875" style="390" customWidth="1"/>
    <col min="14850" max="14850" width="1.85546875" style="390" customWidth="1"/>
    <col min="14851" max="14851" width="3.140625" style="390" customWidth="1"/>
    <col min="14852" max="14852" width="1.7109375" style="390" customWidth="1"/>
    <col min="14853" max="14853" width="4.7109375" style="390" customWidth="1"/>
    <col min="14854" max="14854" width="0.7109375" style="390" customWidth="1"/>
    <col min="14855" max="14855" width="3.85546875" style="390" customWidth="1"/>
    <col min="14856" max="14856" width="1.7109375" style="390" customWidth="1"/>
    <col min="14857" max="14857" width="7" style="390" customWidth="1"/>
    <col min="14858" max="14858" width="5.140625" style="390" customWidth="1"/>
    <col min="14859" max="14859" width="0" style="390" hidden="1" customWidth="1"/>
    <col min="14860" max="14860" width="17.85546875" style="390" customWidth="1"/>
    <col min="14861" max="14861" width="21.85546875" style="390" customWidth="1"/>
    <col min="14862" max="14862" width="0" style="390" hidden="1" customWidth="1"/>
    <col min="14863" max="14863" width="10.7109375" style="390" customWidth="1"/>
    <col min="14864" max="14875" width="0" style="390" hidden="1" customWidth="1"/>
    <col min="14876" max="14876" width="11.5703125" style="390" customWidth="1"/>
    <col min="14877" max="14880" width="0" style="390" hidden="1" customWidth="1"/>
    <col min="14881" max="14881" width="5" style="390" customWidth="1"/>
    <col min="14882" max="14882" width="5.85546875" style="390" customWidth="1"/>
    <col min="14883" max="14883" width="0" style="390" hidden="1" customWidth="1"/>
    <col min="14884" max="14884" width="5.85546875" style="390" customWidth="1"/>
    <col min="14885" max="14886" width="0" style="390" hidden="1" customWidth="1"/>
    <col min="14887" max="14887" width="11.5703125" style="390" customWidth="1"/>
    <col min="14888" max="14888" width="21.7109375" style="390" customWidth="1"/>
    <col min="14889" max="14889" width="17.28515625" style="390" customWidth="1"/>
    <col min="14890" max="14890" width="0" style="390" hidden="1" customWidth="1"/>
    <col min="14891" max="14891" width="16" style="390" customWidth="1"/>
    <col min="14892" max="14892" width="17.85546875" style="390" customWidth="1"/>
    <col min="14893" max="14893" width="7.7109375" style="390" customWidth="1"/>
    <col min="14894" max="14894" width="0" style="390" hidden="1" customWidth="1"/>
    <col min="14895" max="14895" width="8.140625" style="390" customWidth="1"/>
    <col min="14896" max="14896" width="9.85546875" style="390" customWidth="1"/>
    <col min="14897" max="14897" width="12" style="390" customWidth="1"/>
    <col min="14898" max="14898" width="0" style="390" hidden="1" customWidth="1"/>
    <col min="14899" max="14899" width="3.140625" style="390" customWidth="1"/>
    <col min="14900" max="14901" width="0" style="390" hidden="1" customWidth="1"/>
    <col min="14902" max="14902" width="3.140625" style="390" customWidth="1"/>
    <col min="14903" max="14906" width="0" style="390" hidden="1" customWidth="1"/>
    <col min="14907" max="14907" width="4.5703125" style="390" customWidth="1"/>
    <col min="14908" max="14908" width="8.7109375" style="390" customWidth="1"/>
    <col min="14909" max="14911" width="0" style="390" hidden="1" customWidth="1"/>
    <col min="14912" max="14917" width="4.5703125" style="390" customWidth="1"/>
    <col min="14918" max="14920" width="0" style="390" hidden="1" customWidth="1"/>
    <col min="14921" max="14921" width="30" style="390" customWidth="1"/>
    <col min="14922" max="15002" width="0" style="390" hidden="1" customWidth="1"/>
    <col min="15003" max="15003" width="15.7109375" style="390"/>
    <col min="15004" max="15008" width="0" style="390" hidden="1" customWidth="1"/>
    <col min="15009" max="15104" width="15.7109375" style="390"/>
    <col min="15105" max="15105" width="5.85546875" style="390" customWidth="1"/>
    <col min="15106" max="15106" width="1.85546875" style="390" customWidth="1"/>
    <col min="15107" max="15107" width="3.140625" style="390" customWidth="1"/>
    <col min="15108" max="15108" width="1.7109375" style="390" customWidth="1"/>
    <col min="15109" max="15109" width="4.7109375" style="390" customWidth="1"/>
    <col min="15110" max="15110" width="0.7109375" style="390" customWidth="1"/>
    <col min="15111" max="15111" width="3.85546875" style="390" customWidth="1"/>
    <col min="15112" max="15112" width="1.7109375" style="390" customWidth="1"/>
    <col min="15113" max="15113" width="7" style="390" customWidth="1"/>
    <col min="15114" max="15114" width="5.140625" style="390" customWidth="1"/>
    <col min="15115" max="15115" width="0" style="390" hidden="1" customWidth="1"/>
    <col min="15116" max="15116" width="17.85546875" style="390" customWidth="1"/>
    <col min="15117" max="15117" width="21.85546875" style="390" customWidth="1"/>
    <col min="15118" max="15118" width="0" style="390" hidden="1" customWidth="1"/>
    <col min="15119" max="15119" width="10.7109375" style="390" customWidth="1"/>
    <col min="15120" max="15131" width="0" style="390" hidden="1" customWidth="1"/>
    <col min="15132" max="15132" width="11.5703125" style="390" customWidth="1"/>
    <col min="15133" max="15136" width="0" style="390" hidden="1" customWidth="1"/>
    <col min="15137" max="15137" width="5" style="390" customWidth="1"/>
    <col min="15138" max="15138" width="5.85546875" style="390" customWidth="1"/>
    <col min="15139" max="15139" width="0" style="390" hidden="1" customWidth="1"/>
    <col min="15140" max="15140" width="5.85546875" style="390" customWidth="1"/>
    <col min="15141" max="15142" width="0" style="390" hidden="1" customWidth="1"/>
    <col min="15143" max="15143" width="11.5703125" style="390" customWidth="1"/>
    <col min="15144" max="15144" width="21.7109375" style="390" customWidth="1"/>
    <col min="15145" max="15145" width="17.28515625" style="390" customWidth="1"/>
    <col min="15146" max="15146" width="0" style="390" hidden="1" customWidth="1"/>
    <col min="15147" max="15147" width="16" style="390" customWidth="1"/>
    <col min="15148" max="15148" width="17.85546875" style="390" customWidth="1"/>
    <col min="15149" max="15149" width="7.7109375" style="390" customWidth="1"/>
    <col min="15150" max="15150" width="0" style="390" hidden="1" customWidth="1"/>
    <col min="15151" max="15151" width="8.140625" style="390" customWidth="1"/>
    <col min="15152" max="15152" width="9.85546875" style="390" customWidth="1"/>
    <col min="15153" max="15153" width="12" style="390" customWidth="1"/>
    <col min="15154" max="15154" width="0" style="390" hidden="1" customWidth="1"/>
    <col min="15155" max="15155" width="3.140625" style="390" customWidth="1"/>
    <col min="15156" max="15157" width="0" style="390" hidden="1" customWidth="1"/>
    <col min="15158" max="15158" width="3.140625" style="390" customWidth="1"/>
    <col min="15159" max="15162" width="0" style="390" hidden="1" customWidth="1"/>
    <col min="15163" max="15163" width="4.5703125" style="390" customWidth="1"/>
    <col min="15164" max="15164" width="8.7109375" style="390" customWidth="1"/>
    <col min="15165" max="15167" width="0" style="390" hidden="1" customWidth="1"/>
    <col min="15168" max="15173" width="4.5703125" style="390" customWidth="1"/>
    <col min="15174" max="15176" width="0" style="390" hidden="1" customWidth="1"/>
    <col min="15177" max="15177" width="30" style="390" customWidth="1"/>
    <col min="15178" max="15258" width="0" style="390" hidden="1" customWidth="1"/>
    <col min="15259" max="15259" width="15.7109375" style="390"/>
    <col min="15260" max="15264" width="0" style="390" hidden="1" customWidth="1"/>
    <col min="15265" max="15360" width="15.7109375" style="390"/>
    <col min="15361" max="15361" width="5.85546875" style="390" customWidth="1"/>
    <col min="15362" max="15362" width="1.85546875" style="390" customWidth="1"/>
    <col min="15363" max="15363" width="3.140625" style="390" customWidth="1"/>
    <col min="15364" max="15364" width="1.7109375" style="390" customWidth="1"/>
    <col min="15365" max="15365" width="4.7109375" style="390" customWidth="1"/>
    <col min="15366" max="15366" width="0.7109375" style="390" customWidth="1"/>
    <col min="15367" max="15367" width="3.85546875" style="390" customWidth="1"/>
    <col min="15368" max="15368" width="1.7109375" style="390" customWidth="1"/>
    <col min="15369" max="15369" width="7" style="390" customWidth="1"/>
    <col min="15370" max="15370" width="5.140625" style="390" customWidth="1"/>
    <col min="15371" max="15371" width="0" style="390" hidden="1" customWidth="1"/>
    <col min="15372" max="15372" width="17.85546875" style="390" customWidth="1"/>
    <col min="15373" max="15373" width="21.85546875" style="390" customWidth="1"/>
    <col min="15374" max="15374" width="0" style="390" hidden="1" customWidth="1"/>
    <col min="15375" max="15375" width="10.7109375" style="390" customWidth="1"/>
    <col min="15376" max="15387" width="0" style="390" hidden="1" customWidth="1"/>
    <col min="15388" max="15388" width="11.5703125" style="390" customWidth="1"/>
    <col min="15389" max="15392" width="0" style="390" hidden="1" customWidth="1"/>
    <col min="15393" max="15393" width="5" style="390" customWidth="1"/>
    <col min="15394" max="15394" width="5.85546875" style="390" customWidth="1"/>
    <col min="15395" max="15395" width="0" style="390" hidden="1" customWidth="1"/>
    <col min="15396" max="15396" width="5.85546875" style="390" customWidth="1"/>
    <col min="15397" max="15398" width="0" style="390" hidden="1" customWidth="1"/>
    <col min="15399" max="15399" width="11.5703125" style="390" customWidth="1"/>
    <col min="15400" max="15400" width="21.7109375" style="390" customWidth="1"/>
    <col min="15401" max="15401" width="17.28515625" style="390" customWidth="1"/>
    <col min="15402" max="15402" width="0" style="390" hidden="1" customWidth="1"/>
    <col min="15403" max="15403" width="16" style="390" customWidth="1"/>
    <col min="15404" max="15404" width="17.85546875" style="390" customWidth="1"/>
    <col min="15405" max="15405" width="7.7109375" style="390" customWidth="1"/>
    <col min="15406" max="15406" width="0" style="390" hidden="1" customWidth="1"/>
    <col min="15407" max="15407" width="8.140625" style="390" customWidth="1"/>
    <col min="15408" max="15408" width="9.85546875" style="390" customWidth="1"/>
    <col min="15409" max="15409" width="12" style="390" customWidth="1"/>
    <col min="15410" max="15410" width="0" style="390" hidden="1" customWidth="1"/>
    <col min="15411" max="15411" width="3.140625" style="390" customWidth="1"/>
    <col min="15412" max="15413" width="0" style="390" hidden="1" customWidth="1"/>
    <col min="15414" max="15414" width="3.140625" style="390" customWidth="1"/>
    <col min="15415" max="15418" width="0" style="390" hidden="1" customWidth="1"/>
    <col min="15419" max="15419" width="4.5703125" style="390" customWidth="1"/>
    <col min="15420" max="15420" width="8.7109375" style="390" customWidth="1"/>
    <col min="15421" max="15423" width="0" style="390" hidden="1" customWidth="1"/>
    <col min="15424" max="15429" width="4.5703125" style="390" customWidth="1"/>
    <col min="15430" max="15432" width="0" style="390" hidden="1" customWidth="1"/>
    <col min="15433" max="15433" width="30" style="390" customWidth="1"/>
    <col min="15434" max="15514" width="0" style="390" hidden="1" customWidth="1"/>
    <col min="15515" max="15515" width="15.7109375" style="390"/>
    <col min="15516" max="15520" width="0" style="390" hidden="1" customWidth="1"/>
    <col min="15521" max="15616" width="15.7109375" style="390"/>
    <col min="15617" max="15617" width="5.85546875" style="390" customWidth="1"/>
    <col min="15618" max="15618" width="1.85546875" style="390" customWidth="1"/>
    <col min="15619" max="15619" width="3.140625" style="390" customWidth="1"/>
    <col min="15620" max="15620" width="1.7109375" style="390" customWidth="1"/>
    <col min="15621" max="15621" width="4.7109375" style="390" customWidth="1"/>
    <col min="15622" max="15622" width="0.7109375" style="390" customWidth="1"/>
    <col min="15623" max="15623" width="3.85546875" style="390" customWidth="1"/>
    <col min="15624" max="15624" width="1.7109375" style="390" customWidth="1"/>
    <col min="15625" max="15625" width="7" style="390" customWidth="1"/>
    <col min="15626" max="15626" width="5.140625" style="390" customWidth="1"/>
    <col min="15627" max="15627" width="0" style="390" hidden="1" customWidth="1"/>
    <col min="15628" max="15628" width="17.85546875" style="390" customWidth="1"/>
    <col min="15629" max="15629" width="21.85546875" style="390" customWidth="1"/>
    <col min="15630" max="15630" width="0" style="390" hidden="1" customWidth="1"/>
    <col min="15631" max="15631" width="10.7109375" style="390" customWidth="1"/>
    <col min="15632" max="15643" width="0" style="390" hidden="1" customWidth="1"/>
    <col min="15644" max="15644" width="11.5703125" style="390" customWidth="1"/>
    <col min="15645" max="15648" width="0" style="390" hidden="1" customWidth="1"/>
    <col min="15649" max="15649" width="5" style="390" customWidth="1"/>
    <col min="15650" max="15650" width="5.85546875" style="390" customWidth="1"/>
    <col min="15651" max="15651" width="0" style="390" hidden="1" customWidth="1"/>
    <col min="15652" max="15652" width="5.85546875" style="390" customWidth="1"/>
    <col min="15653" max="15654" width="0" style="390" hidden="1" customWidth="1"/>
    <col min="15655" max="15655" width="11.5703125" style="390" customWidth="1"/>
    <col min="15656" max="15656" width="21.7109375" style="390" customWidth="1"/>
    <col min="15657" max="15657" width="17.28515625" style="390" customWidth="1"/>
    <col min="15658" max="15658" width="0" style="390" hidden="1" customWidth="1"/>
    <col min="15659" max="15659" width="16" style="390" customWidth="1"/>
    <col min="15660" max="15660" width="17.85546875" style="390" customWidth="1"/>
    <col min="15661" max="15661" width="7.7109375" style="390" customWidth="1"/>
    <col min="15662" max="15662" width="0" style="390" hidden="1" customWidth="1"/>
    <col min="15663" max="15663" width="8.140625" style="390" customWidth="1"/>
    <col min="15664" max="15664" width="9.85546875" style="390" customWidth="1"/>
    <col min="15665" max="15665" width="12" style="390" customWidth="1"/>
    <col min="15666" max="15666" width="0" style="390" hidden="1" customWidth="1"/>
    <col min="15667" max="15667" width="3.140625" style="390" customWidth="1"/>
    <col min="15668" max="15669" width="0" style="390" hidden="1" customWidth="1"/>
    <col min="15670" max="15670" width="3.140625" style="390" customWidth="1"/>
    <col min="15671" max="15674" width="0" style="390" hidden="1" customWidth="1"/>
    <col min="15675" max="15675" width="4.5703125" style="390" customWidth="1"/>
    <col min="15676" max="15676" width="8.7109375" style="390" customWidth="1"/>
    <col min="15677" max="15679" width="0" style="390" hidden="1" customWidth="1"/>
    <col min="15680" max="15685" width="4.5703125" style="390" customWidth="1"/>
    <col min="15686" max="15688" width="0" style="390" hidden="1" customWidth="1"/>
    <col min="15689" max="15689" width="30" style="390" customWidth="1"/>
    <col min="15690" max="15770" width="0" style="390" hidden="1" customWidth="1"/>
    <col min="15771" max="15771" width="15.7109375" style="390"/>
    <col min="15772" max="15776" width="0" style="390" hidden="1" customWidth="1"/>
    <col min="15777" max="15872" width="15.7109375" style="390"/>
    <col min="15873" max="15873" width="5.85546875" style="390" customWidth="1"/>
    <col min="15874" max="15874" width="1.85546875" style="390" customWidth="1"/>
    <col min="15875" max="15875" width="3.140625" style="390" customWidth="1"/>
    <col min="15876" max="15876" width="1.7109375" style="390" customWidth="1"/>
    <col min="15877" max="15877" width="4.7109375" style="390" customWidth="1"/>
    <col min="15878" max="15878" width="0.7109375" style="390" customWidth="1"/>
    <col min="15879" max="15879" width="3.85546875" style="390" customWidth="1"/>
    <col min="15880" max="15880" width="1.7109375" style="390" customWidth="1"/>
    <col min="15881" max="15881" width="7" style="390" customWidth="1"/>
    <col min="15882" max="15882" width="5.140625" style="390" customWidth="1"/>
    <col min="15883" max="15883" width="0" style="390" hidden="1" customWidth="1"/>
    <col min="15884" max="15884" width="17.85546875" style="390" customWidth="1"/>
    <col min="15885" max="15885" width="21.85546875" style="390" customWidth="1"/>
    <col min="15886" max="15886" width="0" style="390" hidden="1" customWidth="1"/>
    <col min="15887" max="15887" width="10.7109375" style="390" customWidth="1"/>
    <col min="15888" max="15899" width="0" style="390" hidden="1" customWidth="1"/>
    <col min="15900" max="15900" width="11.5703125" style="390" customWidth="1"/>
    <col min="15901" max="15904" width="0" style="390" hidden="1" customWidth="1"/>
    <col min="15905" max="15905" width="5" style="390" customWidth="1"/>
    <col min="15906" max="15906" width="5.85546875" style="390" customWidth="1"/>
    <col min="15907" max="15907" width="0" style="390" hidden="1" customWidth="1"/>
    <col min="15908" max="15908" width="5.85546875" style="390" customWidth="1"/>
    <col min="15909" max="15910" width="0" style="390" hidden="1" customWidth="1"/>
    <col min="15911" max="15911" width="11.5703125" style="390" customWidth="1"/>
    <col min="15912" max="15912" width="21.7109375" style="390" customWidth="1"/>
    <col min="15913" max="15913" width="17.28515625" style="390" customWidth="1"/>
    <col min="15914" max="15914" width="0" style="390" hidden="1" customWidth="1"/>
    <col min="15915" max="15915" width="16" style="390" customWidth="1"/>
    <col min="15916" max="15916" width="17.85546875" style="390" customWidth="1"/>
    <col min="15917" max="15917" width="7.7109375" style="390" customWidth="1"/>
    <col min="15918" max="15918" width="0" style="390" hidden="1" customWidth="1"/>
    <col min="15919" max="15919" width="8.140625" style="390" customWidth="1"/>
    <col min="15920" max="15920" width="9.85546875" style="390" customWidth="1"/>
    <col min="15921" max="15921" width="12" style="390" customWidth="1"/>
    <col min="15922" max="15922" width="0" style="390" hidden="1" customWidth="1"/>
    <col min="15923" max="15923" width="3.140625" style="390" customWidth="1"/>
    <col min="15924" max="15925" width="0" style="390" hidden="1" customWidth="1"/>
    <col min="15926" max="15926" width="3.140625" style="390" customWidth="1"/>
    <col min="15927" max="15930" width="0" style="390" hidden="1" customWidth="1"/>
    <col min="15931" max="15931" width="4.5703125" style="390" customWidth="1"/>
    <col min="15932" max="15932" width="8.7109375" style="390" customWidth="1"/>
    <col min="15933" max="15935" width="0" style="390" hidden="1" customWidth="1"/>
    <col min="15936" max="15941" width="4.5703125" style="390" customWidth="1"/>
    <col min="15942" max="15944" width="0" style="390" hidden="1" customWidth="1"/>
    <col min="15945" max="15945" width="30" style="390" customWidth="1"/>
    <col min="15946" max="16026" width="0" style="390" hidden="1" customWidth="1"/>
    <col min="16027" max="16027" width="15.7109375" style="390"/>
    <col min="16028" max="16032" width="0" style="390" hidden="1" customWidth="1"/>
    <col min="16033" max="16128" width="15.7109375" style="390"/>
    <col min="16129" max="16129" width="5.85546875" style="390" customWidth="1"/>
    <col min="16130" max="16130" width="1.85546875" style="390" customWidth="1"/>
    <col min="16131" max="16131" width="3.140625" style="390" customWidth="1"/>
    <col min="16132" max="16132" width="1.7109375" style="390" customWidth="1"/>
    <col min="16133" max="16133" width="4.7109375" style="390" customWidth="1"/>
    <col min="16134" max="16134" width="0.7109375" style="390" customWidth="1"/>
    <col min="16135" max="16135" width="3.85546875" style="390" customWidth="1"/>
    <col min="16136" max="16136" width="1.7109375" style="390" customWidth="1"/>
    <col min="16137" max="16137" width="7" style="390" customWidth="1"/>
    <col min="16138" max="16138" width="5.140625" style="390" customWidth="1"/>
    <col min="16139" max="16139" width="0" style="390" hidden="1" customWidth="1"/>
    <col min="16140" max="16140" width="17.85546875" style="390" customWidth="1"/>
    <col min="16141" max="16141" width="21.85546875" style="390" customWidth="1"/>
    <col min="16142" max="16142" width="0" style="390" hidden="1" customWidth="1"/>
    <col min="16143" max="16143" width="10.7109375" style="390" customWidth="1"/>
    <col min="16144" max="16155" width="0" style="390" hidden="1" customWidth="1"/>
    <col min="16156" max="16156" width="11.5703125" style="390" customWidth="1"/>
    <col min="16157" max="16160" width="0" style="390" hidden="1" customWidth="1"/>
    <col min="16161" max="16161" width="5" style="390" customWidth="1"/>
    <col min="16162" max="16162" width="5.85546875" style="390" customWidth="1"/>
    <col min="16163" max="16163" width="0" style="390" hidden="1" customWidth="1"/>
    <col min="16164" max="16164" width="5.85546875" style="390" customWidth="1"/>
    <col min="16165" max="16166" width="0" style="390" hidden="1" customWidth="1"/>
    <col min="16167" max="16167" width="11.5703125" style="390" customWidth="1"/>
    <col min="16168" max="16168" width="21.7109375" style="390" customWidth="1"/>
    <col min="16169" max="16169" width="17.28515625" style="390" customWidth="1"/>
    <col min="16170" max="16170" width="0" style="390" hidden="1" customWidth="1"/>
    <col min="16171" max="16171" width="16" style="390" customWidth="1"/>
    <col min="16172" max="16172" width="17.85546875" style="390" customWidth="1"/>
    <col min="16173" max="16173" width="7.7109375" style="390" customWidth="1"/>
    <col min="16174" max="16174" width="0" style="390" hidden="1" customWidth="1"/>
    <col min="16175" max="16175" width="8.140625" style="390" customWidth="1"/>
    <col min="16176" max="16176" width="9.85546875" style="390" customWidth="1"/>
    <col min="16177" max="16177" width="12" style="390" customWidth="1"/>
    <col min="16178" max="16178" width="0" style="390" hidden="1" customWidth="1"/>
    <col min="16179" max="16179" width="3.140625" style="390" customWidth="1"/>
    <col min="16180" max="16181" width="0" style="390" hidden="1" customWidth="1"/>
    <col min="16182" max="16182" width="3.140625" style="390" customWidth="1"/>
    <col min="16183" max="16186" width="0" style="390" hidden="1" customWidth="1"/>
    <col min="16187" max="16187" width="4.5703125" style="390" customWidth="1"/>
    <col min="16188" max="16188" width="8.7109375" style="390" customWidth="1"/>
    <col min="16189" max="16191" width="0" style="390" hidden="1" customWidth="1"/>
    <col min="16192" max="16197" width="4.5703125" style="390" customWidth="1"/>
    <col min="16198" max="16200" width="0" style="390" hidden="1" customWidth="1"/>
    <col min="16201" max="16201" width="30" style="390" customWidth="1"/>
    <col min="16202" max="16282" width="0" style="390" hidden="1" customWidth="1"/>
    <col min="16283" max="16283" width="15.7109375" style="390"/>
    <col min="16284" max="16288" width="0" style="390" hidden="1" customWidth="1"/>
    <col min="16289" max="16384" width="15.7109375" style="390"/>
  </cols>
  <sheetData>
    <row r="1" spans="1:154" s="349" customFormat="1" ht="51.75" customHeight="1" thickBot="1" x14ac:dyDescent="0.4">
      <c r="A1" s="141"/>
      <c r="B1" s="347" t="s">
        <v>95</v>
      </c>
      <c r="C1" s="348"/>
      <c r="E1" s="350" t="s">
        <v>96</v>
      </c>
      <c r="F1" s="351"/>
      <c r="G1" s="352"/>
      <c r="H1" s="353"/>
      <c r="I1" s="146" t="s">
        <v>493</v>
      </c>
      <c r="J1" s="354"/>
      <c r="K1" s="355"/>
      <c r="L1" s="146"/>
      <c r="M1" s="146"/>
      <c r="N1" s="356"/>
      <c r="O1" s="357"/>
      <c r="Q1" s="289"/>
      <c r="R1" s="289"/>
      <c r="Y1" s="355"/>
      <c r="AG1" s="355"/>
      <c r="AH1" s="355"/>
      <c r="AI1" s="355"/>
      <c r="AJ1" s="355"/>
      <c r="AM1" s="358"/>
      <c r="AN1" s="356"/>
      <c r="AP1" s="355"/>
      <c r="AQ1" s="355"/>
      <c r="AR1" s="355"/>
      <c r="AU1" s="356"/>
      <c r="AV1" s="359"/>
      <c r="AW1" s="359"/>
      <c r="AY1" s="355"/>
      <c r="BC1" s="144"/>
      <c r="BD1" s="355"/>
      <c r="BE1" s="355"/>
      <c r="BF1" s="355"/>
      <c r="BG1" s="355"/>
      <c r="BH1" s="355"/>
      <c r="BI1" s="355"/>
      <c r="BJ1" s="250"/>
      <c r="BK1" s="250"/>
      <c r="BL1" s="355"/>
      <c r="BM1" s="355"/>
      <c r="BN1" s="355"/>
      <c r="BO1" s="355"/>
      <c r="BP1" s="355"/>
      <c r="BQ1" s="355"/>
      <c r="BR1" s="355"/>
      <c r="BS1" s="355"/>
      <c r="BT1" s="355"/>
      <c r="BU1" s="356"/>
      <c r="CC1" s="354"/>
      <c r="CU1" s="145"/>
      <c r="DB1" s="145"/>
      <c r="DJ1" s="145"/>
      <c r="DS1" s="360"/>
      <c r="DV1" s="145"/>
      <c r="EI1" s="145"/>
      <c r="EL1" s="145"/>
      <c r="EM1" s="145"/>
      <c r="EQ1" s="355"/>
      <c r="ER1" s="355"/>
      <c r="ES1" s="355"/>
      <c r="EV1" s="361"/>
      <c r="EW1" s="361"/>
      <c r="EX1" s="362"/>
    </row>
    <row r="2" spans="1:154" s="363" customFormat="1" ht="51.75" customHeight="1" thickBot="1" x14ac:dyDescent="0.25">
      <c r="A2" s="62"/>
      <c r="B2" s="63" t="s">
        <v>36</v>
      </c>
      <c r="C2" s="64"/>
      <c r="D2" s="65"/>
      <c r="E2" s="66"/>
      <c r="F2" s="67"/>
      <c r="G2" s="68"/>
      <c r="H2" s="68"/>
      <c r="I2" s="69"/>
      <c r="J2" s="274"/>
      <c r="K2" s="142"/>
      <c r="L2" s="70"/>
      <c r="M2" s="71"/>
      <c r="N2" s="286"/>
      <c r="O2" s="72"/>
      <c r="P2" s="228" t="s">
        <v>97</v>
      </c>
      <c r="Q2" s="302"/>
      <c r="R2" s="302"/>
      <c r="S2" s="229"/>
      <c r="T2" s="229"/>
      <c r="U2" s="229"/>
      <c r="V2" s="229"/>
      <c r="W2" s="229"/>
      <c r="X2" s="229"/>
      <c r="Y2" s="229"/>
      <c r="Z2" s="229"/>
      <c r="AA2" s="230"/>
      <c r="AB2" s="61"/>
      <c r="AC2" s="61"/>
      <c r="AD2" s="73"/>
      <c r="AE2" s="73"/>
      <c r="AF2" s="73"/>
      <c r="AG2" s="74"/>
      <c r="AH2" s="74"/>
      <c r="AI2" s="74"/>
      <c r="AJ2" s="74"/>
      <c r="AK2" s="73"/>
      <c r="AL2" s="73"/>
      <c r="AM2" s="273"/>
      <c r="AN2" s="73"/>
      <c r="AO2" s="61" t="s">
        <v>98</v>
      </c>
      <c r="AP2" s="74"/>
      <c r="AQ2" s="75"/>
      <c r="AR2" s="75"/>
      <c r="AS2" s="76"/>
      <c r="AT2" s="162"/>
      <c r="AU2" s="77"/>
      <c r="AV2" s="78" t="s">
        <v>99</v>
      </c>
      <c r="AW2" s="78"/>
      <c r="AX2" s="79"/>
      <c r="AY2" s="80"/>
      <c r="AZ2" s="79"/>
      <c r="BA2" s="79"/>
      <c r="BB2" s="79"/>
      <c r="BC2" s="161"/>
      <c r="BD2" s="163"/>
      <c r="BE2" s="81"/>
      <c r="BF2" s="81"/>
      <c r="BG2" s="81"/>
      <c r="BH2" s="82"/>
      <c r="BI2" s="264"/>
      <c r="BJ2" s="264"/>
      <c r="BK2" s="264"/>
      <c r="BL2" s="82"/>
      <c r="BM2" s="81"/>
      <c r="BN2" s="81"/>
      <c r="BO2" s="81"/>
      <c r="BP2" s="81"/>
      <c r="BQ2" s="82" t="s">
        <v>100</v>
      </c>
      <c r="BR2" s="81"/>
      <c r="BS2" s="81"/>
      <c r="BT2" s="81"/>
      <c r="BU2" s="83"/>
      <c r="BV2" s="265"/>
      <c r="BW2" s="265"/>
      <c r="BX2" s="265"/>
      <c r="BY2" s="266"/>
      <c r="BZ2" s="266"/>
      <c r="CA2" s="265"/>
      <c r="CB2" s="265"/>
      <c r="CC2" s="267"/>
      <c r="CD2" s="231"/>
      <c r="CE2" s="231"/>
      <c r="CF2" s="231"/>
      <c r="CG2" s="231"/>
      <c r="CH2" s="232"/>
      <c r="CI2" s="232"/>
      <c r="CJ2" s="233"/>
      <c r="CK2" s="233"/>
      <c r="CL2" s="233"/>
      <c r="CM2" s="233"/>
      <c r="CN2" s="233"/>
      <c r="CO2" s="233"/>
      <c r="CP2" s="233"/>
      <c r="CQ2" s="233"/>
      <c r="CR2" s="234"/>
      <c r="CS2" s="235"/>
      <c r="CT2" s="236"/>
      <c r="CU2" s="237"/>
      <c r="CV2" s="238"/>
      <c r="CW2" s="238"/>
      <c r="CX2" s="238"/>
      <c r="CY2" s="238"/>
      <c r="CZ2" s="238"/>
      <c r="DA2" s="238"/>
      <c r="DB2" s="237"/>
      <c r="DC2" s="239"/>
      <c r="DD2" s="239"/>
      <c r="DE2" s="238"/>
      <c r="DF2" s="240"/>
      <c r="DG2" s="238"/>
      <c r="DH2" s="240" t="s">
        <v>101</v>
      </c>
      <c r="DI2" s="240"/>
      <c r="DJ2" s="237"/>
      <c r="DK2" s="241"/>
      <c r="DL2" s="242"/>
      <c r="DM2" s="242"/>
      <c r="DN2" s="242"/>
      <c r="DO2" s="242"/>
      <c r="DP2" s="241"/>
      <c r="DQ2" s="241"/>
      <c r="DR2" s="242"/>
      <c r="DS2" s="243"/>
      <c r="DT2" s="238"/>
      <c r="DU2" s="238"/>
      <c r="DV2" s="237"/>
      <c r="DW2" s="242"/>
      <c r="DX2" s="242"/>
      <c r="DY2" s="241"/>
      <c r="DZ2" s="244"/>
      <c r="EA2" s="242"/>
      <c r="EB2" s="242"/>
      <c r="EC2" s="242"/>
      <c r="ED2" s="241"/>
      <c r="EE2" s="242"/>
      <c r="EF2" s="242"/>
      <c r="EG2" s="238"/>
      <c r="EH2" s="238"/>
      <c r="EI2" s="237"/>
      <c r="EJ2" s="238"/>
      <c r="EK2" s="238"/>
      <c r="EL2" s="245"/>
      <c r="EM2" s="245"/>
      <c r="EN2" s="246"/>
      <c r="EO2" s="247" t="s">
        <v>102</v>
      </c>
      <c r="EP2" s="247"/>
      <c r="EQ2" s="248"/>
      <c r="ER2" s="248"/>
      <c r="ES2" s="249"/>
      <c r="ET2" s="84"/>
      <c r="EU2" s="84" t="s">
        <v>103</v>
      </c>
      <c r="EV2" s="85"/>
      <c r="EW2" s="86"/>
      <c r="EX2" s="87"/>
    </row>
    <row r="3" spans="1:154" ht="15.75" x14ac:dyDescent="0.25">
      <c r="A3" s="88"/>
      <c r="B3" s="89" t="s">
        <v>104</v>
      </c>
      <c r="C3" s="90"/>
      <c r="D3" s="91"/>
      <c r="E3" s="92"/>
      <c r="F3" s="93"/>
      <c r="G3" s="94"/>
      <c r="H3" s="94"/>
      <c r="I3" s="95"/>
      <c r="J3" s="275"/>
      <c r="K3" s="143"/>
      <c r="L3" s="96"/>
      <c r="M3" s="113"/>
      <c r="N3" s="364"/>
      <c r="O3" s="365"/>
      <c r="P3" s="366"/>
      <c r="Q3" s="290"/>
      <c r="R3" s="290"/>
      <c r="S3" s="366"/>
      <c r="T3" s="366"/>
      <c r="U3" s="366"/>
      <c r="V3" s="366"/>
      <c r="W3" s="366"/>
      <c r="X3" s="366"/>
      <c r="Y3" s="367"/>
      <c r="Z3" s="366"/>
      <c r="AA3" s="368"/>
      <c r="AB3" s="369"/>
      <c r="AC3" s="366"/>
      <c r="AD3" s="366"/>
      <c r="AE3" s="366"/>
      <c r="AF3" s="366"/>
      <c r="AG3" s="369"/>
      <c r="AH3" s="369"/>
      <c r="AI3" s="366"/>
      <c r="AJ3" s="370"/>
      <c r="AK3" s="366"/>
      <c r="AL3" s="366"/>
      <c r="AM3" s="371"/>
      <c r="AN3" s="372"/>
      <c r="AO3" s="369"/>
      <c r="AP3" s="367"/>
      <c r="AQ3" s="370"/>
      <c r="AR3" s="370"/>
      <c r="AS3" s="373"/>
      <c r="AT3" s="374"/>
      <c r="AU3" s="97"/>
      <c r="AV3" s="375"/>
      <c r="AW3" s="375"/>
      <c r="AX3" s="366"/>
      <c r="AY3" s="370"/>
      <c r="AZ3" s="366"/>
      <c r="BA3" s="366"/>
      <c r="BB3" s="369"/>
      <c r="BC3" s="154"/>
      <c r="BD3" s="155"/>
      <c r="BE3" s="155" t="s">
        <v>105</v>
      </c>
      <c r="BF3" s="376"/>
      <c r="BG3" s="377"/>
      <c r="BH3" s="378"/>
      <c r="BI3" s="155"/>
      <c r="BJ3" s="251"/>
      <c r="BK3" s="251"/>
      <c r="BL3" s="98" t="s">
        <v>106</v>
      </c>
      <c r="BM3" s="99"/>
      <c r="BN3" s="99"/>
      <c r="BO3" s="100"/>
      <c r="BP3" s="99" t="s">
        <v>107</v>
      </c>
      <c r="BQ3" s="373"/>
      <c r="BR3" s="160" t="s">
        <v>108</v>
      </c>
      <c r="BS3" s="160"/>
      <c r="BT3" s="160"/>
      <c r="BU3" s="101" t="s">
        <v>109</v>
      </c>
      <c r="BV3" s="379"/>
      <c r="BW3" s="218"/>
      <c r="BZ3" s="218" t="s">
        <v>110</v>
      </c>
      <c r="CA3" s="218"/>
      <c r="CB3" s="218"/>
      <c r="CC3" s="263"/>
      <c r="CD3" s="164" t="s">
        <v>111</v>
      </c>
      <c r="CE3" s="164"/>
      <c r="CF3" s="164"/>
      <c r="CG3" s="165"/>
      <c r="CH3" s="166" t="s">
        <v>112</v>
      </c>
      <c r="CI3" s="160"/>
      <c r="CJ3" s="160"/>
      <c r="CK3" s="160"/>
      <c r="CL3" s="160"/>
      <c r="CM3" s="160"/>
      <c r="CN3" s="160"/>
      <c r="CO3" s="160"/>
      <c r="CP3" s="160"/>
      <c r="CQ3" s="160"/>
      <c r="CR3" s="167"/>
      <c r="CS3" s="380">
        <v>0</v>
      </c>
      <c r="CT3" s="168" t="s">
        <v>113</v>
      </c>
      <c r="CU3" s="169" t="s">
        <v>114</v>
      </c>
      <c r="CV3" s="354" t="s">
        <v>115</v>
      </c>
      <c r="CW3" s="381"/>
      <c r="CX3" s="168"/>
      <c r="CY3" s="168" t="s">
        <v>116</v>
      </c>
      <c r="CZ3" s="381"/>
      <c r="DA3" s="381"/>
      <c r="DB3" s="169" t="s">
        <v>117</v>
      </c>
      <c r="DC3" s="380" t="s">
        <v>118</v>
      </c>
      <c r="DD3" s="381"/>
      <c r="DE3" s="381"/>
      <c r="DF3" s="168" t="s">
        <v>119</v>
      </c>
      <c r="DG3" s="381"/>
      <c r="DH3" s="381"/>
      <c r="DI3" s="381"/>
      <c r="DJ3" s="190" t="s">
        <v>120</v>
      </c>
      <c r="DK3" s="355" t="s">
        <v>121</v>
      </c>
      <c r="DL3" s="381"/>
      <c r="DM3" s="381"/>
      <c r="DN3" s="381"/>
      <c r="DO3" s="381"/>
      <c r="DP3" s="147"/>
      <c r="DQ3" s="168" t="s">
        <v>122</v>
      </c>
      <c r="DR3" s="382"/>
      <c r="DS3" s="383"/>
      <c r="DV3" s="191" t="s">
        <v>123</v>
      </c>
      <c r="DW3" s="384" t="s">
        <v>124</v>
      </c>
      <c r="DX3" s="382"/>
      <c r="DY3" s="385"/>
      <c r="DZ3" s="382"/>
      <c r="EA3" s="382"/>
      <c r="EB3" s="382"/>
      <c r="EC3" s="207"/>
      <c r="ED3" s="208" t="s">
        <v>125</v>
      </c>
      <c r="EE3" s="382"/>
      <c r="EF3" s="382"/>
      <c r="EI3" s="176" t="s">
        <v>126</v>
      </c>
      <c r="EJ3" s="386">
        <v>1</v>
      </c>
      <c r="EK3" s="168" t="s">
        <v>127</v>
      </c>
      <c r="EL3" s="176" t="s">
        <v>128</v>
      </c>
      <c r="EM3" s="387"/>
      <c r="EN3" s="223" t="s">
        <v>129</v>
      </c>
      <c r="EP3" s="381"/>
      <c r="ES3" s="388"/>
      <c r="ET3" s="345" t="s">
        <v>130</v>
      </c>
      <c r="EU3" s="104"/>
      <c r="EV3" s="389">
        <f>$BH$8</f>
        <v>0</v>
      </c>
      <c r="EW3" s="105"/>
      <c r="EX3" s="106"/>
    </row>
    <row r="4" spans="1:154" ht="13.5" customHeight="1" thickBot="1" x14ac:dyDescent="0.3">
      <c r="A4" s="88"/>
      <c r="B4" s="268" t="s">
        <v>131</v>
      </c>
      <c r="C4" s="269"/>
      <c r="D4" s="270"/>
      <c r="E4" s="270"/>
      <c r="F4" s="271"/>
      <c r="G4" s="271"/>
      <c r="H4" s="271"/>
      <c r="I4" s="270"/>
      <c r="J4" s="272"/>
      <c r="K4" s="147" t="s">
        <v>132</v>
      </c>
      <c r="L4" s="112"/>
      <c r="M4" s="113">
        <v>4</v>
      </c>
      <c r="N4" s="287"/>
      <c r="O4" s="114"/>
      <c r="P4" s="150"/>
      <c r="Q4" s="291"/>
      <c r="R4" s="292"/>
      <c r="S4" s="391"/>
      <c r="T4" s="391"/>
      <c r="U4" s="391"/>
      <c r="V4" s="392"/>
      <c r="W4" s="392"/>
      <c r="X4" s="392"/>
      <c r="Y4" s="393"/>
      <c r="Z4" s="392"/>
      <c r="AA4" s="394"/>
      <c r="AB4" s="395"/>
      <c r="AC4" s="391"/>
      <c r="AD4" s="391"/>
      <c r="AE4" s="391"/>
      <c r="AF4" s="391"/>
      <c r="AG4" s="396"/>
      <c r="AH4" s="396"/>
      <c r="AI4" s="393"/>
      <c r="AJ4" s="396"/>
      <c r="AK4" s="391"/>
      <c r="AL4" s="391"/>
      <c r="AM4" s="397"/>
      <c r="AN4" s="398"/>
      <c r="AO4" s="399"/>
      <c r="AP4" s="152"/>
      <c r="AQ4" s="115"/>
      <c r="AR4" s="115"/>
      <c r="AS4" s="400"/>
      <c r="AT4" s="401"/>
      <c r="AU4" s="398"/>
      <c r="AV4" s="402"/>
      <c r="AW4" s="402"/>
      <c r="AX4" s="391"/>
      <c r="AY4" s="396"/>
      <c r="AZ4" s="391"/>
      <c r="BA4" s="753" t="s">
        <v>133</v>
      </c>
      <c r="BB4" s="399"/>
      <c r="BC4" s="156"/>
      <c r="BD4" s="745" t="s">
        <v>134</v>
      </c>
      <c r="BE4" s="753" t="s">
        <v>135</v>
      </c>
      <c r="BF4" s="750" t="s">
        <v>136</v>
      </c>
      <c r="BG4" s="403"/>
      <c r="BH4" s="116"/>
      <c r="BI4" s="404">
        <f>ROUNDUP((BJ3+2)/4,0)</f>
        <v>1</v>
      </c>
      <c r="BJ4" s="252">
        <f>SUM(BM4:BQ4)</f>
        <v>0</v>
      </c>
      <c r="BK4" s="253"/>
      <c r="BL4" s="405"/>
      <c r="BM4" s="406">
        <f>MAX(ROUNDUP((BL8+BM8+BO8)/12,0),ROUNDUP((BO8)/2,0))</f>
        <v>0</v>
      </c>
      <c r="BN4" s="396">
        <f>ROUNDUP((BN8)/8,0)</f>
        <v>0</v>
      </c>
      <c r="BO4" s="407"/>
      <c r="BP4" s="405">
        <f>ROUNDUP((BP8)/6,0)</f>
        <v>0</v>
      </c>
      <c r="BQ4" s="407">
        <f>ROUNDUP((BQ8)/8,0)</f>
        <v>0</v>
      </c>
      <c r="BR4" s="408"/>
      <c r="BS4" s="393"/>
      <c r="BT4" s="750" t="s">
        <v>137</v>
      </c>
      <c r="BU4" s="409"/>
      <c r="BV4" s="408"/>
      <c r="BW4" s="393"/>
      <c r="BX4" s="393"/>
      <c r="BY4" s="393"/>
      <c r="BZ4" s="393"/>
      <c r="CA4" s="393"/>
      <c r="CB4" s="393"/>
      <c r="CC4" s="410"/>
      <c r="CD4" s="745" t="s">
        <v>138</v>
      </c>
      <c r="CE4" s="753" t="s">
        <v>139</v>
      </c>
      <c r="CF4" s="753" t="s">
        <v>140</v>
      </c>
      <c r="CG4" s="750" t="s">
        <v>141</v>
      </c>
      <c r="CH4" s="401"/>
      <c r="CI4" s="411"/>
      <c r="CJ4" s="160" t="s">
        <v>142</v>
      </c>
      <c r="CK4" s="160"/>
      <c r="CL4" s="160"/>
      <c r="CM4" s="170"/>
      <c r="CN4" s="160" t="s">
        <v>143</v>
      </c>
      <c r="CO4" s="160"/>
      <c r="CP4" s="160"/>
      <c r="CQ4" s="160"/>
      <c r="CR4" s="167"/>
      <c r="CS4" s="171" t="s">
        <v>144</v>
      </c>
      <c r="CT4" s="172"/>
      <c r="CU4" s="173"/>
      <c r="CV4" s="174" t="s">
        <v>145</v>
      </c>
      <c r="CW4" s="172"/>
      <c r="CX4" s="172"/>
      <c r="CY4" s="172"/>
      <c r="CZ4" s="172"/>
      <c r="DA4" s="175"/>
      <c r="DB4" s="176"/>
      <c r="DC4" s="192" t="s">
        <v>146</v>
      </c>
      <c r="DD4" s="193"/>
      <c r="DE4" s="172"/>
      <c r="DF4" s="172"/>
      <c r="DG4" s="172"/>
      <c r="DH4" s="412"/>
      <c r="DI4" s="175"/>
      <c r="DJ4" s="194"/>
      <c r="DK4" s="195" t="s">
        <v>147</v>
      </c>
      <c r="DL4" s="196"/>
      <c r="DM4" s="196"/>
      <c r="DN4" s="196"/>
      <c r="DO4" s="196"/>
      <c r="DP4" s="196"/>
      <c r="DQ4" s="196"/>
      <c r="DR4" s="197"/>
      <c r="DS4" s="198"/>
      <c r="DT4" s="196"/>
      <c r="DU4" s="196"/>
      <c r="DV4" s="199"/>
      <c r="DW4" s="209" t="s">
        <v>148</v>
      </c>
      <c r="DX4" s="197"/>
      <c r="DY4" s="197"/>
      <c r="DZ4" s="210"/>
      <c r="EA4" s="210"/>
      <c r="EB4" s="211"/>
      <c r="EC4" s="210"/>
      <c r="ED4" s="210"/>
      <c r="EE4" s="197"/>
      <c r="EF4" s="197"/>
      <c r="EG4" s="196"/>
      <c r="EH4" s="196"/>
      <c r="EI4" s="199"/>
      <c r="EJ4" s="212" t="s">
        <v>149</v>
      </c>
      <c r="EK4" s="196"/>
      <c r="EL4" s="213"/>
      <c r="EM4" s="413"/>
      <c r="EN4" s="224" t="s">
        <v>150</v>
      </c>
      <c r="EP4" s="381"/>
      <c r="ES4" s="388"/>
      <c r="ET4" s="390" t="s">
        <v>151</v>
      </c>
      <c r="EV4" s="414">
        <f>SUBTOTAL(9,EV11:EV100)</f>
        <v>0</v>
      </c>
      <c r="EW4" s="415">
        <f>SUBTOTAL(9,EW11:EW100)</f>
        <v>0</v>
      </c>
      <c r="EX4" s="416">
        <f>SUBTOTAL(9,EX11:EX100)</f>
        <v>0</v>
      </c>
    </row>
    <row r="5" spans="1:154" ht="16.5" thickBot="1" x14ac:dyDescent="0.3">
      <c r="A5" s="88"/>
      <c r="B5" s="117" t="s">
        <v>152</v>
      </c>
      <c r="C5" s="118"/>
      <c r="D5" s="119"/>
      <c r="E5" s="120"/>
      <c r="F5" s="120"/>
      <c r="G5" s="121">
        <f ca="1">TODAY()</f>
        <v>45685</v>
      </c>
      <c r="H5" s="121"/>
      <c r="I5" s="121"/>
      <c r="J5" s="276"/>
      <c r="K5" s="148" t="s">
        <v>153</v>
      </c>
      <c r="L5" s="122">
        <f>MAX((DMAX(B10:EL100,CY10,M4:M5)),(DMAX(B10:EL100,DF10,M4:M5)),(DMAX(B10:EL100,DT10,M4:M5)),(DMAX(B10:EL100,EG10,M4:M5)),(DMAX(B10:EL100,EJ10,M4:M5)),(DMAX(B10:EL100,CS10,M4:M5)))</f>
        <v>0</v>
      </c>
      <c r="M5" s="123" t="s">
        <v>154</v>
      </c>
      <c r="N5" s="288"/>
      <c r="O5" s="417"/>
      <c r="P5" s="151"/>
      <c r="Q5" s="293"/>
      <c r="R5" s="294"/>
      <c r="S5" s="418"/>
      <c r="T5" s="418"/>
      <c r="U5" s="418"/>
      <c r="V5" s="419"/>
      <c r="W5" s="419"/>
      <c r="X5" s="419"/>
      <c r="Y5" s="420"/>
      <c r="Z5" s="419"/>
      <c r="AA5" s="421"/>
      <c r="AB5" s="422"/>
      <c r="AC5" s="418"/>
      <c r="AD5" s="418"/>
      <c r="AE5" s="418"/>
      <c r="AF5" s="418"/>
      <c r="AG5" s="423"/>
      <c r="AH5" s="423"/>
      <c r="AI5" s="420"/>
      <c r="AJ5" s="423"/>
      <c r="AK5" s="418"/>
      <c r="AL5" s="418"/>
      <c r="AM5" s="424"/>
      <c r="AN5" s="425"/>
      <c r="AO5" s="426"/>
      <c r="AP5" s="153"/>
      <c r="AQ5" s="124"/>
      <c r="AR5" s="124"/>
      <c r="AS5" s="427"/>
      <c r="AT5" s="428"/>
      <c r="AU5" s="425"/>
      <c r="AV5" s="429"/>
      <c r="AW5" s="429"/>
      <c r="AX5" s="418"/>
      <c r="AY5" s="423"/>
      <c r="AZ5" s="418"/>
      <c r="BA5" s="748"/>
      <c r="BB5" s="426"/>
      <c r="BC5" s="157"/>
      <c r="BD5" s="746"/>
      <c r="BE5" s="748"/>
      <c r="BF5" s="751"/>
      <c r="BG5" s="433"/>
      <c r="BH5" s="434"/>
      <c r="BI5" s="420"/>
      <c r="BJ5" s="254"/>
      <c r="BK5" s="255"/>
      <c r="BL5" s="435"/>
      <c r="BM5" s="423"/>
      <c r="BN5" s="423"/>
      <c r="BO5" s="436"/>
      <c r="BP5" s="435"/>
      <c r="BQ5" s="436"/>
      <c r="BR5" s="437"/>
      <c r="BS5" s="420"/>
      <c r="BT5" s="751"/>
      <c r="BU5" s="409"/>
      <c r="BV5" s="437"/>
      <c r="BW5" s="420"/>
      <c r="BX5" s="420"/>
      <c r="BY5" s="748" t="s">
        <v>155</v>
      </c>
      <c r="BZ5" s="420"/>
      <c r="CA5" s="420"/>
      <c r="CB5" s="420"/>
      <c r="CC5" s="438"/>
      <c r="CD5" s="746"/>
      <c r="CE5" s="748"/>
      <c r="CF5" s="748"/>
      <c r="CG5" s="751"/>
      <c r="CH5" s="428"/>
      <c r="CI5" s="439"/>
      <c r="CJ5" s="401"/>
      <c r="CK5" s="391"/>
      <c r="CL5" s="391"/>
      <c r="CM5" s="411"/>
      <c r="CN5" s="745" t="s">
        <v>156</v>
      </c>
      <c r="CO5" s="391"/>
      <c r="CP5" s="391"/>
      <c r="CQ5" s="391"/>
      <c r="CR5" s="411"/>
      <c r="CS5" s="440"/>
      <c r="CT5" s="441"/>
      <c r="CU5" s="177"/>
      <c r="CV5" s="441"/>
      <c r="CW5" s="441"/>
      <c r="CX5" s="178"/>
      <c r="CY5" s="442"/>
      <c r="CZ5" s="179"/>
      <c r="DA5" s="180">
        <f>IF(COUNTA(CZ11:CZ100)/COUNTA(I11:I100)&gt;0.99,1,COUNTA(CZ11:CZ100)/COUNTA(I11:I100))</f>
        <v>0</v>
      </c>
      <c r="DB5" s="181" t="s">
        <v>157</v>
      </c>
      <c r="DC5" s="441"/>
      <c r="DD5" s="441"/>
      <c r="DE5" s="443"/>
      <c r="DF5" s="441"/>
      <c r="DG5" s="441"/>
      <c r="DH5" s="200"/>
      <c r="DI5" s="180">
        <f>IF(((COUNTA(DG11:DG100)+COUNTA(DH11:DH100))/2/COUNTA(I11:I100))&gt;0.99,1,((COUNTA(DG11:DG100)+COUNTA(DH11:DH100))/2/COUNTA(I11:I100)))</f>
        <v>0</v>
      </c>
      <c r="DJ5" s="181" t="s">
        <v>157</v>
      </c>
      <c r="DK5" s="381"/>
      <c r="DL5" s="201"/>
      <c r="DM5" s="381"/>
      <c r="DN5" s="381"/>
      <c r="DO5" s="381"/>
      <c r="DP5" s="381"/>
      <c r="DQ5" s="443"/>
      <c r="DR5" s="201"/>
      <c r="DS5" s="444"/>
      <c r="DT5" s="381"/>
      <c r="DU5" s="180">
        <f>IF(COUNTA(DU11:DU100)/COUNTA(I11:I100)&gt;0.99,1,COUNTA(DU11:DU100)/COUNTA(I11:I100))</f>
        <v>0</v>
      </c>
      <c r="DV5" s="181" t="s">
        <v>157</v>
      </c>
      <c r="DW5" s="214"/>
      <c r="DX5" s="441"/>
      <c r="DY5" s="443"/>
      <c r="DZ5" s="215"/>
      <c r="EA5" s="216"/>
      <c r="EB5" s="216"/>
      <c r="EC5" s="215"/>
      <c r="ED5" s="443"/>
      <c r="EE5" s="215"/>
      <c r="EF5" s="443"/>
      <c r="EG5" s="441"/>
      <c r="EH5" s="180">
        <f>IF(COUNTA(EH11:EH100)/COUNTA(I11:I100)&gt;0.99,1,COUNTA(EH11:EH100)/COUNTA(I11:I100))</f>
        <v>0</v>
      </c>
      <c r="EI5" s="181" t="s">
        <v>157</v>
      </c>
      <c r="EJ5" s="441"/>
      <c r="EK5" s="180">
        <f>IF(COUNTA(EK11:EK100)/COUNTA(I11:I100)&gt;0.99,1,COUNTA(EH11:EH100)/COUNTA(I11:I100))</f>
        <v>0</v>
      </c>
      <c r="EL5" s="181" t="s">
        <v>157</v>
      </c>
      <c r="EM5" s="217"/>
      <c r="EN5" s="445"/>
      <c r="EO5" s="225" t="s">
        <v>158</v>
      </c>
      <c r="EP5" s="226" t="s">
        <v>159</v>
      </c>
      <c r="EQ5" s="227"/>
      <c r="ER5" s="227"/>
      <c r="ES5" s="225"/>
      <c r="ET5" s="390" t="s">
        <v>160</v>
      </c>
      <c r="EV5" s="446"/>
      <c r="EW5" s="414">
        <f>+EW4*EV5</f>
        <v>0</v>
      </c>
      <c r="EX5" s="447"/>
    </row>
    <row r="6" spans="1:154" ht="13.5" thickBot="1" x14ac:dyDescent="0.25">
      <c r="A6" s="125"/>
      <c r="B6" s="448"/>
      <c r="C6" s="449"/>
      <c r="D6" s="449"/>
      <c r="E6" s="449" t="s">
        <v>161</v>
      </c>
      <c r="F6" s="449"/>
      <c r="G6" s="449"/>
      <c r="H6" s="449"/>
      <c r="I6" s="450"/>
      <c r="J6" s="451"/>
      <c r="K6" s="149" t="s">
        <v>162</v>
      </c>
      <c r="L6" s="139">
        <v>40295</v>
      </c>
      <c r="M6" s="398"/>
      <c r="N6" s="452"/>
      <c r="O6" s="453"/>
      <c r="P6" s="428"/>
      <c r="Q6" s="295"/>
      <c r="R6" s="296"/>
      <c r="S6" s="418"/>
      <c r="T6" s="418"/>
      <c r="U6" s="418"/>
      <c r="V6" s="419"/>
      <c r="W6" s="419"/>
      <c r="X6" s="419"/>
      <c r="Y6" s="420"/>
      <c r="Z6" s="419"/>
      <c r="AA6" s="421"/>
      <c r="AB6" s="422"/>
      <c r="AC6" s="418"/>
      <c r="AD6" s="418"/>
      <c r="AE6" s="418"/>
      <c r="AF6" s="418"/>
      <c r="AG6" s="423"/>
      <c r="AH6" s="423"/>
      <c r="AI6" s="420"/>
      <c r="AJ6" s="423"/>
      <c r="AK6" s="418"/>
      <c r="AL6" s="418"/>
      <c r="AM6" s="424"/>
      <c r="AN6" s="425"/>
      <c r="AO6" s="426"/>
      <c r="AP6" s="420"/>
      <c r="AQ6" s="124"/>
      <c r="AR6" s="124"/>
      <c r="AS6" s="427"/>
      <c r="AT6" s="428"/>
      <c r="AU6" s="425"/>
      <c r="AV6" s="429"/>
      <c r="AW6" s="429"/>
      <c r="AX6" s="418"/>
      <c r="AY6" s="423"/>
      <c r="AZ6" s="418"/>
      <c r="BA6" s="748"/>
      <c r="BB6" s="426"/>
      <c r="BC6" s="157"/>
      <c r="BD6" s="746"/>
      <c r="BE6" s="748"/>
      <c r="BF6" s="751"/>
      <c r="BG6" s="433"/>
      <c r="BH6" s="434"/>
      <c r="BI6" s="420"/>
      <c r="BJ6" s="254"/>
      <c r="BK6" s="255"/>
      <c r="BL6" s="435"/>
      <c r="BM6" s="423"/>
      <c r="BN6" s="423"/>
      <c r="BO6" s="436"/>
      <c r="BP6" s="435"/>
      <c r="BQ6" s="436"/>
      <c r="BR6" s="437"/>
      <c r="BS6" s="420"/>
      <c r="BT6" s="751"/>
      <c r="BU6" s="409"/>
      <c r="BV6" s="437"/>
      <c r="BW6" s="420"/>
      <c r="BX6" s="420"/>
      <c r="BY6" s="748"/>
      <c r="BZ6" s="420"/>
      <c r="CA6" s="420"/>
      <c r="CB6" s="420"/>
      <c r="CC6" s="438"/>
      <c r="CD6" s="746"/>
      <c r="CE6" s="748"/>
      <c r="CF6" s="748"/>
      <c r="CG6" s="751"/>
      <c r="CH6" s="428"/>
      <c r="CI6" s="439"/>
      <c r="CJ6" s="428"/>
      <c r="CK6" s="418"/>
      <c r="CL6" s="418"/>
      <c r="CM6" s="439"/>
      <c r="CN6" s="746"/>
      <c r="CO6" s="418"/>
      <c r="CP6" s="418"/>
      <c r="CQ6" s="418"/>
      <c r="CR6" s="439"/>
      <c r="CS6" s="454"/>
      <c r="CT6" s="455"/>
      <c r="CU6" s="182"/>
      <c r="CV6" s="454"/>
      <c r="CW6" s="455"/>
      <c r="CX6" s="456"/>
      <c r="CY6" s="455"/>
      <c r="CZ6" s="455"/>
      <c r="DA6" s="455"/>
      <c r="DB6" s="176"/>
      <c r="DC6" s="202"/>
      <c r="DD6" s="202"/>
      <c r="DE6" s="456"/>
      <c r="DF6" s="455"/>
      <c r="DG6" s="455"/>
      <c r="DH6" s="455"/>
      <c r="DI6" s="455"/>
      <c r="DJ6" s="176"/>
      <c r="DK6" s="457"/>
      <c r="DL6" s="201"/>
      <c r="DP6" s="203"/>
      <c r="DQ6" s="458"/>
      <c r="DR6" s="203"/>
      <c r="DS6" s="459"/>
      <c r="DT6" s="203"/>
      <c r="DU6" s="455"/>
      <c r="DV6" s="176"/>
      <c r="DW6" s="457"/>
      <c r="DX6" s="203"/>
      <c r="EB6" s="218"/>
      <c r="EF6" s="219"/>
      <c r="EH6" s="455"/>
      <c r="EI6" s="176"/>
      <c r="EJ6" s="455"/>
      <c r="EK6" s="455"/>
      <c r="EL6" s="176"/>
      <c r="EM6" s="388"/>
      <c r="EN6" s="460"/>
      <c r="EO6" s="388"/>
      <c r="EP6" s="437"/>
      <c r="EQ6" s="420"/>
      <c r="ER6" s="420"/>
      <c r="ES6" s="461"/>
      <c r="ET6" s="390" t="s">
        <v>163</v>
      </c>
      <c r="EW6" s="463"/>
      <c r="EX6" s="464">
        <f>EV4+SUM(EW4:EX5)</f>
        <v>0</v>
      </c>
    </row>
    <row r="7" spans="1:154" ht="111" customHeight="1" x14ac:dyDescent="0.2">
      <c r="A7" s="88"/>
      <c r="C7" s="466" t="s">
        <v>164</v>
      </c>
      <c r="D7" s="467"/>
      <c r="E7" s="466" t="s">
        <v>165</v>
      </c>
      <c r="F7" s="468"/>
      <c r="G7" s="469" t="s">
        <v>166</v>
      </c>
      <c r="H7" s="470"/>
      <c r="I7" s="471" t="s">
        <v>167</v>
      </c>
      <c r="J7" s="472" t="s">
        <v>168</v>
      </c>
      <c r="K7" s="473" t="s">
        <v>169</v>
      </c>
      <c r="L7" s="423" t="s">
        <v>170</v>
      </c>
      <c r="M7" s="429" t="s">
        <v>171</v>
      </c>
      <c r="N7" s="473" t="s">
        <v>172</v>
      </c>
      <c r="O7" s="474" t="s">
        <v>173</v>
      </c>
      <c r="P7" s="475" t="s">
        <v>174</v>
      </c>
      <c r="Q7" s="297" t="s">
        <v>175</v>
      </c>
      <c r="R7" s="298" t="s">
        <v>176</v>
      </c>
      <c r="S7" s="430" t="s">
        <v>177</v>
      </c>
      <c r="T7" s="430" t="s">
        <v>178</v>
      </c>
      <c r="U7" s="430" t="s">
        <v>179</v>
      </c>
      <c r="V7" s="430" t="s">
        <v>180</v>
      </c>
      <c r="W7" s="430" t="s">
        <v>181</v>
      </c>
      <c r="X7" s="430" t="s">
        <v>182</v>
      </c>
      <c r="Y7" s="430" t="s">
        <v>183</v>
      </c>
      <c r="Z7" s="430" t="s">
        <v>184</v>
      </c>
      <c r="AA7" s="432" t="s">
        <v>185</v>
      </c>
      <c r="AB7" s="476" t="s">
        <v>186</v>
      </c>
      <c r="AC7" s="473" t="s">
        <v>187</v>
      </c>
      <c r="AD7" s="473" t="s">
        <v>188</v>
      </c>
      <c r="AE7" s="473" t="s">
        <v>189</v>
      </c>
      <c r="AF7" s="473" t="s">
        <v>190</v>
      </c>
      <c r="AG7" s="434" t="s">
        <v>191</v>
      </c>
      <c r="AH7" s="434" t="s">
        <v>178</v>
      </c>
      <c r="AI7" s="430" t="s">
        <v>192</v>
      </c>
      <c r="AJ7" s="434" t="s">
        <v>193</v>
      </c>
      <c r="AK7" s="473" t="s">
        <v>194</v>
      </c>
      <c r="AL7" s="473" t="s">
        <v>195</v>
      </c>
      <c r="AM7" s="477" t="s">
        <v>196</v>
      </c>
      <c r="AN7" s="429" t="s">
        <v>197</v>
      </c>
      <c r="AO7" s="429" t="s">
        <v>198</v>
      </c>
      <c r="AP7" s="473" t="s">
        <v>199</v>
      </c>
      <c r="AQ7" s="429" t="s">
        <v>200</v>
      </c>
      <c r="AR7" s="429" t="s">
        <v>201</v>
      </c>
      <c r="AS7" s="478" t="s">
        <v>202</v>
      </c>
      <c r="AT7" s="431" t="s">
        <v>203</v>
      </c>
      <c r="AU7" s="472" t="s">
        <v>204</v>
      </c>
      <c r="AV7" s="472" t="s">
        <v>205</v>
      </c>
      <c r="AW7" s="472" t="s">
        <v>206</v>
      </c>
      <c r="AX7" s="430" t="s">
        <v>207</v>
      </c>
      <c r="AY7" s="434" t="s">
        <v>208</v>
      </c>
      <c r="AZ7" s="430" t="s">
        <v>209</v>
      </c>
      <c r="BA7" s="749"/>
      <c r="BB7" s="434" t="s">
        <v>210</v>
      </c>
      <c r="BC7" s="479" t="s">
        <v>211</v>
      </c>
      <c r="BD7" s="747"/>
      <c r="BE7" s="749"/>
      <c r="BF7" s="751"/>
      <c r="BG7" s="433" t="s">
        <v>212</v>
      </c>
      <c r="BH7" s="434" t="s">
        <v>213</v>
      </c>
      <c r="BI7" s="430" t="s">
        <v>214</v>
      </c>
      <c r="BJ7" s="256" t="s">
        <v>215</v>
      </c>
      <c r="BK7" s="257" t="s">
        <v>216</v>
      </c>
      <c r="BL7" s="433" t="s">
        <v>217</v>
      </c>
      <c r="BM7" s="434" t="s">
        <v>218</v>
      </c>
      <c r="BN7" s="434" t="s">
        <v>219</v>
      </c>
      <c r="BO7" s="478" t="s">
        <v>220</v>
      </c>
      <c r="BP7" s="433" t="s">
        <v>221</v>
      </c>
      <c r="BQ7" s="478" t="s">
        <v>222</v>
      </c>
      <c r="BR7" s="431" t="s">
        <v>223</v>
      </c>
      <c r="BS7" s="430" t="s">
        <v>224</v>
      </c>
      <c r="BT7" s="752"/>
      <c r="BU7" s="409"/>
      <c r="BV7" s="431" t="s">
        <v>225</v>
      </c>
      <c r="BW7" s="430" t="s">
        <v>226</v>
      </c>
      <c r="BX7" s="430" t="s">
        <v>227</v>
      </c>
      <c r="BY7" s="749"/>
      <c r="BZ7" s="430" t="s">
        <v>228</v>
      </c>
      <c r="CA7" s="430" t="s">
        <v>229</v>
      </c>
      <c r="CB7" s="430" t="s">
        <v>230</v>
      </c>
      <c r="CC7" s="461" t="s">
        <v>231</v>
      </c>
      <c r="CD7" s="747"/>
      <c r="CE7" s="749"/>
      <c r="CF7" s="749"/>
      <c r="CG7" s="752"/>
      <c r="CH7" s="431" t="s">
        <v>232</v>
      </c>
      <c r="CI7" s="432" t="s">
        <v>233</v>
      </c>
      <c r="CJ7" s="431" t="s">
        <v>234</v>
      </c>
      <c r="CK7" s="430" t="s">
        <v>235</v>
      </c>
      <c r="CL7" s="430" t="s">
        <v>236</v>
      </c>
      <c r="CM7" s="432" t="s">
        <v>237</v>
      </c>
      <c r="CN7" s="747"/>
      <c r="CO7" s="430" t="s">
        <v>238</v>
      </c>
      <c r="CP7" s="430" t="s">
        <v>239</v>
      </c>
      <c r="CQ7" s="430" t="s">
        <v>240</v>
      </c>
      <c r="CR7" s="432" t="s">
        <v>241</v>
      </c>
      <c r="CS7" s="480"/>
      <c r="CT7" s="481"/>
      <c r="CU7" s="183"/>
      <c r="CV7" s="482"/>
      <c r="CW7" s="184" t="s">
        <v>242</v>
      </c>
      <c r="CX7" s="483"/>
      <c r="CY7" s="484"/>
      <c r="CZ7" s="484"/>
      <c r="DA7" s="484"/>
      <c r="DB7" s="185"/>
      <c r="DC7" s="484"/>
      <c r="DD7" s="204" t="s">
        <v>243</v>
      </c>
      <c r="DE7" s="485"/>
      <c r="DF7" s="481"/>
      <c r="DG7" s="481"/>
      <c r="DH7" s="481"/>
      <c r="DI7" s="481"/>
      <c r="DJ7" s="183"/>
      <c r="DK7" s="486"/>
      <c r="DL7" s="487"/>
      <c r="DM7" s="487"/>
      <c r="DN7" s="487"/>
      <c r="DO7" s="487"/>
      <c r="DP7" s="184" t="s">
        <v>244</v>
      </c>
      <c r="DQ7" s="488"/>
      <c r="DR7" s="205" t="s">
        <v>245</v>
      </c>
      <c r="DS7" s="489"/>
      <c r="DT7" s="490"/>
      <c r="DU7" s="490"/>
      <c r="DV7" s="206"/>
      <c r="DW7" s="486"/>
      <c r="DX7" s="184" t="s">
        <v>246</v>
      </c>
      <c r="DY7" s="491"/>
      <c r="DZ7" s="492"/>
      <c r="EA7" s="487"/>
      <c r="EB7" s="220" t="s">
        <v>247</v>
      </c>
      <c r="EC7" s="487"/>
      <c r="ED7" s="488"/>
      <c r="EE7" s="221" t="s">
        <v>248</v>
      </c>
      <c r="EF7" s="493"/>
      <c r="EG7" s="490"/>
      <c r="EH7" s="490"/>
      <c r="EI7" s="206"/>
      <c r="EJ7" s="480"/>
      <c r="EK7" s="481"/>
      <c r="EL7" s="183"/>
      <c r="EM7" s="222" t="s">
        <v>249</v>
      </c>
      <c r="EN7" s="494"/>
      <c r="EO7" s="495" t="s">
        <v>250</v>
      </c>
      <c r="EP7" s="496" t="s">
        <v>251</v>
      </c>
      <c r="EQ7" s="473" t="s">
        <v>252</v>
      </c>
      <c r="ER7" s="473" t="s">
        <v>253</v>
      </c>
      <c r="ES7" s="479" t="s">
        <v>254</v>
      </c>
      <c r="ET7" s="497" t="s">
        <v>255</v>
      </c>
      <c r="EU7" s="497" t="s">
        <v>256</v>
      </c>
      <c r="EV7" s="498" t="s">
        <v>257</v>
      </c>
      <c r="EW7" s="498" t="s">
        <v>258</v>
      </c>
      <c r="EX7" s="499" t="s">
        <v>259</v>
      </c>
    </row>
    <row r="8" spans="1:154" ht="12.75" x14ac:dyDescent="0.2">
      <c r="A8" s="126"/>
      <c r="B8" s="500"/>
      <c r="C8" s="501"/>
      <c r="D8" s="502"/>
      <c r="E8" s="501"/>
      <c r="F8" s="503"/>
      <c r="G8" s="504"/>
      <c r="H8" s="505"/>
      <c r="I8" s="282"/>
      <c r="J8" s="506"/>
      <c r="K8" s="507"/>
      <c r="L8" s="508"/>
      <c r="M8" s="509"/>
      <c r="N8" s="510"/>
      <c r="O8" s="511"/>
      <c r="P8" s="512"/>
      <c r="Q8" s="307"/>
      <c r="R8" s="308"/>
      <c r="S8" s="507"/>
      <c r="T8" s="507"/>
      <c r="U8" s="507"/>
      <c r="V8" s="507"/>
      <c r="W8" s="507"/>
      <c r="X8" s="513"/>
      <c r="Y8" s="507"/>
      <c r="Z8" s="507"/>
      <c r="AA8" s="514"/>
      <c r="AB8" s="515"/>
      <c r="AC8" s="507"/>
      <c r="AD8" s="507"/>
      <c r="AE8" s="507"/>
      <c r="AF8" s="507"/>
      <c r="AG8" s="516"/>
      <c r="AH8" s="516"/>
      <c r="AI8" s="507"/>
      <c r="AJ8" s="516"/>
      <c r="AK8" s="507"/>
      <c r="AL8" s="507"/>
      <c r="AM8" s="517"/>
      <c r="AN8" s="518"/>
      <c r="AO8" s="516"/>
      <c r="AP8" s="507"/>
      <c r="AQ8" s="516"/>
      <c r="AR8" s="516"/>
      <c r="AS8" s="519">
        <f>ET9</f>
        <v>90</v>
      </c>
      <c r="AT8" s="512"/>
      <c r="AU8" s="518"/>
      <c r="AV8" s="518">
        <f>SUBTOTAL(9,AV11:AV1000)</f>
        <v>0</v>
      </c>
      <c r="AW8" s="518">
        <f>SUBTOTAL(9,AW11:AW1000)</f>
        <v>0</v>
      </c>
      <c r="AX8" s="507"/>
      <c r="AY8" s="516"/>
      <c r="AZ8" s="507"/>
      <c r="BA8" s="507"/>
      <c r="BB8" s="508"/>
      <c r="BC8" s="277"/>
      <c r="BD8" s="512"/>
      <c r="BE8" s="507"/>
      <c r="BF8" s="520"/>
      <c r="BG8" s="515"/>
      <c r="BH8" s="283">
        <f>SUM(BL8:BQ8)</f>
        <v>0</v>
      </c>
      <c r="BI8" s="304"/>
      <c r="BJ8" s="278"/>
      <c r="BK8" s="279"/>
      <c r="BL8" s="284">
        <f t="shared" ref="BL8:BQ8" si="0">SUBTOTAL(9,BL11:BL100)</f>
        <v>0</v>
      </c>
      <c r="BM8" s="283">
        <f t="shared" si="0"/>
        <v>0</v>
      </c>
      <c r="BN8" s="283">
        <f t="shared" si="0"/>
        <v>0</v>
      </c>
      <c r="BO8" s="285">
        <f t="shared" si="0"/>
        <v>0</v>
      </c>
      <c r="BP8" s="284">
        <f t="shared" si="0"/>
        <v>0</v>
      </c>
      <c r="BQ8" s="285">
        <f t="shared" si="0"/>
        <v>0</v>
      </c>
      <c r="BR8" s="305"/>
      <c r="BS8" s="309"/>
      <c r="BT8" s="520"/>
      <c r="BU8" s="521"/>
      <c r="BV8" s="522"/>
      <c r="BW8" s="513"/>
      <c r="BX8" s="513"/>
      <c r="BY8" s="513"/>
      <c r="BZ8" s="513"/>
      <c r="CA8" s="513"/>
      <c r="CB8" s="513"/>
      <c r="CC8" s="520"/>
      <c r="CD8" s="522"/>
      <c r="CE8" s="513"/>
      <c r="CF8" s="513"/>
      <c r="CG8" s="514"/>
      <c r="CH8" s="523" t="s">
        <v>260</v>
      </c>
      <c r="CI8" s="524"/>
      <c r="CJ8" s="512"/>
      <c r="CK8" s="513"/>
      <c r="CL8" s="513"/>
      <c r="CM8" s="514"/>
      <c r="CN8" s="522"/>
      <c r="CO8" s="513"/>
      <c r="CP8" s="513"/>
      <c r="CQ8" s="513"/>
      <c r="CR8" s="514"/>
      <c r="CS8" s="512" t="s">
        <v>261</v>
      </c>
      <c r="CT8" s="507" t="s">
        <v>262</v>
      </c>
      <c r="CU8" s="280" t="s">
        <v>263</v>
      </c>
      <c r="CV8" s="512" t="s">
        <v>264</v>
      </c>
      <c r="CW8" s="507" t="s">
        <v>264</v>
      </c>
      <c r="CX8" s="520" t="s">
        <v>264</v>
      </c>
      <c r="CY8" s="512" t="s">
        <v>265</v>
      </c>
      <c r="CZ8" s="507" t="s">
        <v>266</v>
      </c>
      <c r="DA8" s="281" t="s">
        <v>267</v>
      </c>
      <c r="DB8" s="280" t="s">
        <v>268</v>
      </c>
      <c r="DC8" s="512" t="s">
        <v>105</v>
      </c>
      <c r="DD8" s="507" t="s">
        <v>269</v>
      </c>
      <c r="DE8" s="520" t="s">
        <v>270</v>
      </c>
      <c r="DF8" s="512" t="s">
        <v>271</v>
      </c>
      <c r="DG8" s="507" t="s">
        <v>272</v>
      </c>
      <c r="DH8" s="507" t="s">
        <v>273</v>
      </c>
      <c r="DI8" s="281" t="s">
        <v>267</v>
      </c>
      <c r="DJ8" s="280" t="s">
        <v>274</v>
      </c>
      <c r="DK8" s="512" t="s">
        <v>275</v>
      </c>
      <c r="DL8" s="507" t="s">
        <v>276</v>
      </c>
      <c r="DM8" s="507" t="s">
        <v>277</v>
      </c>
      <c r="DN8" s="507" t="s">
        <v>278</v>
      </c>
      <c r="DO8" s="507" t="s">
        <v>278</v>
      </c>
      <c r="DP8" s="507" t="s">
        <v>266</v>
      </c>
      <c r="DQ8" s="520" t="s">
        <v>268</v>
      </c>
      <c r="DR8" s="512" t="s">
        <v>279</v>
      </c>
      <c r="DS8" s="525" t="s">
        <v>280</v>
      </c>
      <c r="DT8" s="512" t="s">
        <v>281</v>
      </c>
      <c r="DU8" s="507" t="s">
        <v>266</v>
      </c>
      <c r="DV8" s="280" t="s">
        <v>267</v>
      </c>
      <c r="DW8" s="512" t="s">
        <v>282</v>
      </c>
      <c r="DX8" s="507" t="s">
        <v>283</v>
      </c>
      <c r="DY8" s="520" t="s">
        <v>284</v>
      </c>
      <c r="DZ8" s="512" t="s">
        <v>285</v>
      </c>
      <c r="EA8" s="507" t="s">
        <v>286</v>
      </c>
      <c r="EB8" s="507" t="s">
        <v>287</v>
      </c>
      <c r="EC8" s="507" t="s">
        <v>288</v>
      </c>
      <c r="ED8" s="520" t="s">
        <v>268</v>
      </c>
      <c r="EE8" s="512" t="s">
        <v>289</v>
      </c>
      <c r="EF8" s="520" t="s">
        <v>280</v>
      </c>
      <c r="EG8" s="512" t="s">
        <v>290</v>
      </c>
      <c r="EH8" s="507" t="s">
        <v>266</v>
      </c>
      <c r="EI8" s="280" t="s">
        <v>267</v>
      </c>
      <c r="EJ8" s="512" t="s">
        <v>291</v>
      </c>
      <c r="EK8" s="507" t="s">
        <v>266</v>
      </c>
      <c r="EL8" s="280" t="s">
        <v>267</v>
      </c>
      <c r="EM8" s="520"/>
      <c r="EN8" s="526" t="s">
        <v>292</v>
      </c>
      <c r="EO8" s="527"/>
      <c r="EP8" s="512"/>
      <c r="EQ8" s="507"/>
      <c r="ER8" s="507"/>
      <c r="ES8" s="520"/>
      <c r="ET8" s="528" t="s">
        <v>293</v>
      </c>
      <c r="EU8" s="399"/>
      <c r="EV8" s="529"/>
      <c r="EW8" s="529"/>
      <c r="EX8" s="530"/>
    </row>
    <row r="9" spans="1:154" ht="12.75" x14ac:dyDescent="0.2">
      <c r="A9" s="127"/>
      <c r="B9" s="531"/>
      <c r="C9" s="532"/>
      <c r="D9" s="533"/>
      <c r="E9" s="532"/>
      <c r="F9" s="534"/>
      <c r="G9" s="535"/>
      <c r="H9" s="536"/>
      <c r="I9" s="128"/>
      <c r="J9" s="537"/>
      <c r="K9" s="346"/>
      <c r="L9" s="538"/>
      <c r="M9" s="539"/>
      <c r="N9" s="540"/>
      <c r="O9" s="541"/>
      <c r="P9" s="542" t="s">
        <v>294</v>
      </c>
      <c r="Q9" s="299"/>
      <c r="R9" s="300"/>
      <c r="S9" s="346" t="s">
        <v>295</v>
      </c>
      <c r="T9" s="346" t="s">
        <v>296</v>
      </c>
      <c r="U9" s="346" t="s">
        <v>297</v>
      </c>
      <c r="V9" s="346" t="s">
        <v>298</v>
      </c>
      <c r="W9" s="346" t="s">
        <v>298</v>
      </c>
      <c r="X9" s="543"/>
      <c r="Y9" s="346" t="s">
        <v>299</v>
      </c>
      <c r="Z9" s="346" t="s">
        <v>300</v>
      </c>
      <c r="AA9" s="544"/>
      <c r="AB9" s="545"/>
      <c r="AC9" s="346"/>
      <c r="AD9" s="346"/>
      <c r="AE9" s="346"/>
      <c r="AF9" s="346"/>
      <c r="AG9" s="546"/>
      <c r="AH9" s="546" t="s">
        <v>296</v>
      </c>
      <c r="AI9" s="346" t="s">
        <v>301</v>
      </c>
      <c r="AJ9" s="546" t="s">
        <v>302</v>
      </c>
      <c r="AK9" s="346"/>
      <c r="AL9" s="346"/>
      <c r="AM9" s="547"/>
      <c r="AN9" s="548"/>
      <c r="AO9" s="546"/>
      <c r="AP9" s="346"/>
      <c r="AQ9" s="546"/>
      <c r="AR9" s="546"/>
      <c r="AS9" s="549" t="s">
        <v>303</v>
      </c>
      <c r="AT9" s="542" t="s">
        <v>304</v>
      </c>
      <c r="AU9" s="548" t="s">
        <v>305</v>
      </c>
      <c r="AV9" s="548" t="s">
        <v>294</v>
      </c>
      <c r="AW9" s="548" t="s">
        <v>306</v>
      </c>
      <c r="AX9" s="346" t="s">
        <v>304</v>
      </c>
      <c r="AY9" s="546"/>
      <c r="AZ9" s="346" t="s">
        <v>307</v>
      </c>
      <c r="BA9" s="346" t="s">
        <v>308</v>
      </c>
      <c r="BB9" s="538"/>
      <c r="BC9" s="158"/>
      <c r="BD9" s="542" t="s">
        <v>309</v>
      </c>
      <c r="BE9" s="346" t="s">
        <v>310</v>
      </c>
      <c r="BF9" s="550" t="s">
        <v>311</v>
      </c>
      <c r="BG9" s="545"/>
      <c r="BH9" s="129" t="s">
        <v>312</v>
      </c>
      <c r="BI9" s="303"/>
      <c r="BJ9" s="258"/>
      <c r="BK9" s="259"/>
      <c r="BL9" s="131" t="s">
        <v>313</v>
      </c>
      <c r="BM9" s="129" t="s">
        <v>313</v>
      </c>
      <c r="BN9" s="129" t="s">
        <v>314</v>
      </c>
      <c r="BO9" s="130" t="s">
        <v>281</v>
      </c>
      <c r="BP9" s="131" t="s">
        <v>315</v>
      </c>
      <c r="BQ9" s="130" t="s">
        <v>316</v>
      </c>
      <c r="BR9" s="542"/>
      <c r="BS9" s="346"/>
      <c r="BT9" s="550"/>
      <c r="BU9" s="551"/>
      <c r="BV9" s="552"/>
      <c r="BW9" s="543"/>
      <c r="BX9" s="543"/>
      <c r="BY9" s="543"/>
      <c r="BZ9" s="543"/>
      <c r="CA9" s="543"/>
      <c r="CB9" s="543"/>
      <c r="CC9" s="550"/>
      <c r="CD9" s="552"/>
      <c r="CE9" s="543"/>
      <c r="CF9" s="543" t="s">
        <v>317</v>
      </c>
      <c r="CG9" s="544"/>
      <c r="CH9" s="553" t="s">
        <v>318</v>
      </c>
      <c r="CI9" s="554"/>
      <c r="CJ9" s="542"/>
      <c r="CK9" s="543"/>
      <c r="CL9" s="543"/>
      <c r="CM9" s="544"/>
      <c r="CN9" s="552"/>
      <c r="CO9" s="543"/>
      <c r="CP9" s="543"/>
      <c r="CQ9" s="543"/>
      <c r="CR9" s="544"/>
      <c r="CS9" s="542" t="s">
        <v>319</v>
      </c>
      <c r="CT9" s="346" t="s">
        <v>320</v>
      </c>
      <c r="CU9" s="186" t="s">
        <v>321</v>
      </c>
      <c r="CV9" s="542" t="s">
        <v>322</v>
      </c>
      <c r="CW9" s="346" t="s">
        <v>323</v>
      </c>
      <c r="CX9" s="550" t="s">
        <v>324</v>
      </c>
      <c r="CY9" s="542" t="s">
        <v>319</v>
      </c>
      <c r="CZ9" s="346" t="s">
        <v>320</v>
      </c>
      <c r="DA9" s="187" t="s">
        <v>321</v>
      </c>
      <c r="DB9" s="186" t="s">
        <v>325</v>
      </c>
      <c r="DC9" s="542" t="s">
        <v>326</v>
      </c>
      <c r="DD9" s="346" t="s">
        <v>326</v>
      </c>
      <c r="DE9" s="550" t="s">
        <v>327</v>
      </c>
      <c r="DF9" s="542" t="s">
        <v>319</v>
      </c>
      <c r="DG9" s="346" t="s">
        <v>320</v>
      </c>
      <c r="DH9" s="346" t="s">
        <v>320</v>
      </c>
      <c r="DI9" s="187" t="s">
        <v>321</v>
      </c>
      <c r="DJ9" s="186" t="s">
        <v>325</v>
      </c>
      <c r="DK9" s="542" t="s">
        <v>328</v>
      </c>
      <c r="DL9" s="346"/>
      <c r="DM9" s="346"/>
      <c r="DN9" s="346" t="s">
        <v>329</v>
      </c>
      <c r="DO9" s="346" t="s">
        <v>330</v>
      </c>
      <c r="DP9" s="346" t="s">
        <v>320</v>
      </c>
      <c r="DQ9" s="550"/>
      <c r="DR9" s="542" t="s">
        <v>331</v>
      </c>
      <c r="DS9" s="550" t="s">
        <v>331</v>
      </c>
      <c r="DT9" s="542" t="s">
        <v>319</v>
      </c>
      <c r="DU9" s="346" t="s">
        <v>320</v>
      </c>
      <c r="DV9" s="186" t="s">
        <v>321</v>
      </c>
      <c r="DW9" s="542" t="s">
        <v>332</v>
      </c>
      <c r="DX9" s="346"/>
      <c r="DY9" s="550"/>
      <c r="DZ9" s="542" t="s">
        <v>321</v>
      </c>
      <c r="EA9" s="346" t="s">
        <v>333</v>
      </c>
      <c r="EB9" s="346" t="s">
        <v>321</v>
      </c>
      <c r="EC9" s="346" t="s">
        <v>321</v>
      </c>
      <c r="ED9" s="550"/>
      <c r="EE9" s="542" t="s">
        <v>321</v>
      </c>
      <c r="EF9" s="550" t="s">
        <v>321</v>
      </c>
      <c r="EG9" s="542" t="s">
        <v>319</v>
      </c>
      <c r="EH9" s="346" t="s">
        <v>320</v>
      </c>
      <c r="EI9" s="186" t="s">
        <v>321</v>
      </c>
      <c r="EJ9" s="542" t="s">
        <v>319</v>
      </c>
      <c r="EK9" s="346" t="s">
        <v>320</v>
      </c>
      <c r="EL9" s="186" t="s">
        <v>321</v>
      </c>
      <c r="EM9" s="550"/>
      <c r="EN9" s="555" t="s">
        <v>334</v>
      </c>
      <c r="EO9" s="376"/>
      <c r="EP9" s="542"/>
      <c r="EQ9" s="346"/>
      <c r="ER9" s="346"/>
      <c r="ES9" s="550"/>
      <c r="ET9" s="556">
        <f>SUBTOTAL(9,ET11:ET100)</f>
        <v>90</v>
      </c>
      <c r="EU9" s="538"/>
      <c r="EV9" s="557"/>
      <c r="EW9" s="557"/>
      <c r="EX9" s="558"/>
    </row>
    <row r="10" spans="1:154" ht="13.5" thickBot="1" x14ac:dyDescent="0.25">
      <c r="A10" s="132">
        <v>0</v>
      </c>
      <c r="B10" s="133" t="s">
        <v>335</v>
      </c>
      <c r="C10" s="559">
        <v>1</v>
      </c>
      <c r="D10" s="134" t="s">
        <v>336</v>
      </c>
      <c r="E10" s="559">
        <v>2</v>
      </c>
      <c r="F10" s="134" t="s">
        <v>337</v>
      </c>
      <c r="G10" s="560">
        <v>3</v>
      </c>
      <c r="H10" s="135" t="s">
        <v>338</v>
      </c>
      <c r="I10" s="561">
        <v>4</v>
      </c>
      <c r="J10" s="562">
        <v>5</v>
      </c>
      <c r="K10" s="563" t="s">
        <v>339</v>
      </c>
      <c r="L10" s="564" t="s">
        <v>340</v>
      </c>
      <c r="M10" s="565" t="s">
        <v>341</v>
      </c>
      <c r="N10" s="563" t="s">
        <v>342</v>
      </c>
      <c r="O10" s="566" t="s">
        <v>343</v>
      </c>
      <c r="P10" s="567" t="s">
        <v>344</v>
      </c>
      <c r="Q10" s="260" t="s">
        <v>345</v>
      </c>
      <c r="R10" s="260" t="s">
        <v>346</v>
      </c>
      <c r="S10" s="563" t="s">
        <v>347</v>
      </c>
      <c r="T10" s="563" t="s">
        <v>348</v>
      </c>
      <c r="U10" s="563" t="s">
        <v>349</v>
      </c>
      <c r="V10" s="563" t="s">
        <v>350</v>
      </c>
      <c r="W10" s="563" t="s">
        <v>351</v>
      </c>
      <c r="X10" s="563" t="s">
        <v>352</v>
      </c>
      <c r="Y10" s="563" t="s">
        <v>353</v>
      </c>
      <c r="Z10" s="563" t="s">
        <v>354</v>
      </c>
      <c r="AA10" s="568" t="s">
        <v>355</v>
      </c>
      <c r="AB10" s="569" t="s">
        <v>356</v>
      </c>
      <c r="AC10" s="563" t="s">
        <v>357</v>
      </c>
      <c r="AD10" s="563" t="s">
        <v>358</v>
      </c>
      <c r="AE10" s="563" t="s">
        <v>359</v>
      </c>
      <c r="AF10" s="563" t="s">
        <v>360</v>
      </c>
      <c r="AG10" s="564" t="s">
        <v>361</v>
      </c>
      <c r="AH10" s="564" t="s">
        <v>362</v>
      </c>
      <c r="AI10" s="563" t="s">
        <v>363</v>
      </c>
      <c r="AJ10" s="564" t="s">
        <v>364</v>
      </c>
      <c r="AK10" s="563" t="s">
        <v>365</v>
      </c>
      <c r="AL10" s="563" t="s">
        <v>366</v>
      </c>
      <c r="AM10" s="570" t="s">
        <v>367</v>
      </c>
      <c r="AN10" s="565" t="s">
        <v>368</v>
      </c>
      <c r="AO10" s="564" t="s">
        <v>369</v>
      </c>
      <c r="AP10" s="563" t="s">
        <v>370</v>
      </c>
      <c r="AQ10" s="564" t="s">
        <v>371</v>
      </c>
      <c r="AR10" s="564" t="s">
        <v>372</v>
      </c>
      <c r="AS10" s="566" t="s">
        <v>373</v>
      </c>
      <c r="AT10" s="567" t="s">
        <v>374</v>
      </c>
      <c r="AU10" s="564" t="s">
        <v>375</v>
      </c>
      <c r="AV10" s="564" t="s">
        <v>376</v>
      </c>
      <c r="AW10" s="564" t="s">
        <v>377</v>
      </c>
      <c r="AX10" s="563" t="s">
        <v>378</v>
      </c>
      <c r="AY10" s="564" t="s">
        <v>379</v>
      </c>
      <c r="AZ10" s="563" t="s">
        <v>380</v>
      </c>
      <c r="BA10" s="563" t="s">
        <v>381</v>
      </c>
      <c r="BB10" s="564" t="s">
        <v>382</v>
      </c>
      <c r="BC10" s="571" t="s">
        <v>383</v>
      </c>
      <c r="BD10" s="567" t="s">
        <v>384</v>
      </c>
      <c r="BE10" s="563" t="s">
        <v>385</v>
      </c>
      <c r="BF10" s="568" t="s">
        <v>386</v>
      </c>
      <c r="BG10" s="569" t="s">
        <v>387</v>
      </c>
      <c r="BH10" s="564" t="s">
        <v>388</v>
      </c>
      <c r="BI10" s="563" t="s">
        <v>389</v>
      </c>
      <c r="BJ10" s="260" t="s">
        <v>390</v>
      </c>
      <c r="BK10" s="261" t="s">
        <v>391</v>
      </c>
      <c r="BL10" s="569" t="s">
        <v>392</v>
      </c>
      <c r="BM10" s="564" t="s">
        <v>393</v>
      </c>
      <c r="BN10" s="564" t="s">
        <v>394</v>
      </c>
      <c r="BO10" s="566" t="s">
        <v>395</v>
      </c>
      <c r="BP10" s="569" t="s">
        <v>396</v>
      </c>
      <c r="BQ10" s="566" t="s">
        <v>397</v>
      </c>
      <c r="BR10" s="567" t="s">
        <v>398</v>
      </c>
      <c r="BS10" s="563" t="s">
        <v>399</v>
      </c>
      <c r="BT10" s="568" t="s">
        <v>400</v>
      </c>
      <c r="BU10" s="572" t="s">
        <v>401</v>
      </c>
      <c r="BV10" s="567" t="s">
        <v>402</v>
      </c>
      <c r="BW10" s="563" t="s">
        <v>403</v>
      </c>
      <c r="BX10" s="563" t="s">
        <v>404</v>
      </c>
      <c r="BY10" s="563" t="s">
        <v>405</v>
      </c>
      <c r="BZ10" s="563" t="s">
        <v>406</v>
      </c>
      <c r="CA10" s="563" t="s">
        <v>407</v>
      </c>
      <c r="CB10" s="563" t="s">
        <v>408</v>
      </c>
      <c r="CC10" s="568" t="s">
        <v>409</v>
      </c>
      <c r="CD10" s="567" t="s">
        <v>410</v>
      </c>
      <c r="CE10" s="563" t="s">
        <v>411</v>
      </c>
      <c r="CF10" s="563" t="s">
        <v>412</v>
      </c>
      <c r="CG10" s="568" t="s">
        <v>413</v>
      </c>
      <c r="CH10" s="567" t="s">
        <v>414</v>
      </c>
      <c r="CI10" s="568" t="s">
        <v>415</v>
      </c>
      <c r="CJ10" s="567" t="s">
        <v>416</v>
      </c>
      <c r="CK10" s="563" t="s">
        <v>417</v>
      </c>
      <c r="CL10" s="563" t="s">
        <v>418</v>
      </c>
      <c r="CM10" s="568" t="s">
        <v>419</v>
      </c>
      <c r="CN10" s="567" t="s">
        <v>420</v>
      </c>
      <c r="CO10" s="563" t="s">
        <v>421</v>
      </c>
      <c r="CP10" s="563" t="s">
        <v>422</v>
      </c>
      <c r="CQ10" s="563" t="s">
        <v>423</v>
      </c>
      <c r="CR10" s="568" t="s">
        <v>424</v>
      </c>
      <c r="CS10" s="567" t="s">
        <v>425</v>
      </c>
      <c r="CT10" s="563" t="s">
        <v>426</v>
      </c>
      <c r="CU10" s="568" t="s">
        <v>427</v>
      </c>
      <c r="CV10" s="567" t="s">
        <v>428</v>
      </c>
      <c r="CW10" s="563" t="s">
        <v>429</v>
      </c>
      <c r="CX10" s="568" t="s">
        <v>430</v>
      </c>
      <c r="CY10" s="567" t="s">
        <v>431</v>
      </c>
      <c r="CZ10" s="563" t="s">
        <v>432</v>
      </c>
      <c r="DA10" s="563" t="s">
        <v>433</v>
      </c>
      <c r="DB10" s="568" t="s">
        <v>434</v>
      </c>
      <c r="DC10" s="567" t="s">
        <v>435</v>
      </c>
      <c r="DD10" s="563" t="s">
        <v>436</v>
      </c>
      <c r="DE10" s="568" t="s">
        <v>437</v>
      </c>
      <c r="DF10" s="567" t="s">
        <v>438</v>
      </c>
      <c r="DG10" s="563" t="s">
        <v>439</v>
      </c>
      <c r="DH10" s="563" t="s">
        <v>440</v>
      </c>
      <c r="DI10" s="563" t="s">
        <v>441</v>
      </c>
      <c r="DJ10" s="568" t="s">
        <v>442</v>
      </c>
      <c r="DK10" s="567" t="s">
        <v>443</v>
      </c>
      <c r="DL10" s="563" t="s">
        <v>444</v>
      </c>
      <c r="DM10" s="563" t="s">
        <v>445</v>
      </c>
      <c r="DN10" s="563" t="s">
        <v>446</v>
      </c>
      <c r="DO10" s="563" t="s">
        <v>447</v>
      </c>
      <c r="DP10" s="563" t="s">
        <v>448</v>
      </c>
      <c r="DQ10" s="568" t="s">
        <v>449</v>
      </c>
      <c r="DR10" s="567" t="s">
        <v>450</v>
      </c>
      <c r="DS10" s="568" t="s">
        <v>451</v>
      </c>
      <c r="DT10" s="567" t="s">
        <v>452</v>
      </c>
      <c r="DU10" s="563" t="s">
        <v>453</v>
      </c>
      <c r="DV10" s="568" t="s">
        <v>454</v>
      </c>
      <c r="DW10" s="567" t="s">
        <v>455</v>
      </c>
      <c r="DX10" s="563" t="s">
        <v>456</v>
      </c>
      <c r="DY10" s="568" t="s">
        <v>457</v>
      </c>
      <c r="DZ10" s="567" t="s">
        <v>458</v>
      </c>
      <c r="EA10" s="563" t="s">
        <v>459</v>
      </c>
      <c r="EB10" s="563" t="s">
        <v>460</v>
      </c>
      <c r="EC10" s="563" t="s">
        <v>461</v>
      </c>
      <c r="ED10" s="568" t="s">
        <v>462</v>
      </c>
      <c r="EE10" s="567" t="s">
        <v>463</v>
      </c>
      <c r="EF10" s="568" t="s">
        <v>464</v>
      </c>
      <c r="EG10" s="567" t="s">
        <v>465</v>
      </c>
      <c r="EH10" s="563" t="s">
        <v>466</v>
      </c>
      <c r="EI10" s="568" t="s">
        <v>467</v>
      </c>
      <c r="EJ10" s="567" t="s">
        <v>468</v>
      </c>
      <c r="EK10" s="563" t="s">
        <v>469</v>
      </c>
      <c r="EL10" s="568" t="s">
        <v>470</v>
      </c>
      <c r="EM10" s="573" t="s">
        <v>471</v>
      </c>
      <c r="EN10" s="573" t="s">
        <v>472</v>
      </c>
      <c r="EO10" s="574" t="s">
        <v>473</v>
      </c>
      <c r="EP10" s="567" t="s">
        <v>474</v>
      </c>
      <c r="EQ10" s="563" t="s">
        <v>475</v>
      </c>
      <c r="ER10" s="563" t="s">
        <v>476</v>
      </c>
      <c r="ES10" s="568" t="s">
        <v>477</v>
      </c>
      <c r="ET10" s="569" t="s">
        <v>478</v>
      </c>
      <c r="EU10" s="564" t="s">
        <v>479</v>
      </c>
      <c r="EV10" s="575" t="s">
        <v>480</v>
      </c>
      <c r="EW10" s="575" t="s">
        <v>481</v>
      </c>
      <c r="EX10" s="576" t="s">
        <v>482</v>
      </c>
    </row>
    <row r="11" spans="1:154" s="363" customFormat="1" ht="20.100000000000001" customHeight="1" x14ac:dyDescent="0.2">
      <c r="A11" s="577" t="s">
        <v>483</v>
      </c>
      <c r="B11" s="578" t="s">
        <v>484</v>
      </c>
      <c r="C11" s="579">
        <v>1337</v>
      </c>
      <c r="D11" s="313" t="s">
        <v>485</v>
      </c>
      <c r="E11" s="312">
        <v>320</v>
      </c>
      <c r="F11" s="580" t="s">
        <v>486</v>
      </c>
      <c r="G11" s="337" t="s">
        <v>490</v>
      </c>
      <c r="H11" s="582" t="s">
        <v>487</v>
      </c>
      <c r="I11" s="583" t="s">
        <v>491</v>
      </c>
      <c r="J11" s="584"/>
      <c r="K11" s="585"/>
      <c r="L11" s="341"/>
      <c r="M11" s="338"/>
      <c r="N11" s="586"/>
      <c r="O11" s="587"/>
      <c r="P11" s="588"/>
      <c r="Q11" s="589"/>
      <c r="R11" s="589"/>
      <c r="S11" s="585"/>
      <c r="T11" s="585"/>
      <c r="U11" s="585"/>
      <c r="V11" s="585"/>
      <c r="W11" s="585"/>
      <c r="X11" s="585"/>
      <c r="Y11" s="585"/>
      <c r="Z11" s="585"/>
      <c r="AA11" s="590"/>
      <c r="AB11" s="591"/>
      <c r="AC11" s="585"/>
      <c r="AD11" s="585"/>
      <c r="AE11" s="585"/>
      <c r="AF11" s="585"/>
      <c r="AG11" s="592"/>
      <c r="AH11" s="593" t="str">
        <f>IF(ISNUMBER(AG11),1296*S11*S11/AG11/AG11,"")</f>
        <v/>
      </c>
      <c r="AI11" s="594" t="str">
        <f>IF(ISNUMBER(AH11),100*AH11/(#REF!),"")</f>
        <v/>
      </c>
      <c r="AJ11" s="592"/>
      <c r="AK11" s="585"/>
      <c r="AL11" s="585"/>
      <c r="AM11" s="595"/>
      <c r="AN11" s="596"/>
      <c r="AO11" s="592" t="s">
        <v>494</v>
      </c>
      <c r="AP11" s="585"/>
      <c r="AQ11" s="592"/>
      <c r="AR11" s="592"/>
      <c r="AS11" s="597"/>
      <c r="AT11" s="588"/>
      <c r="AU11" s="596"/>
      <c r="AV11" s="596"/>
      <c r="AW11" s="596"/>
      <c r="AX11" s="585"/>
      <c r="AY11" s="592"/>
      <c r="AZ11" s="585"/>
      <c r="BA11" s="585"/>
      <c r="BB11" s="592"/>
      <c r="BC11" s="158"/>
      <c r="BD11" s="598"/>
      <c r="BE11" s="585"/>
      <c r="BF11" s="590"/>
      <c r="BG11" s="591"/>
      <c r="BH11" s="592"/>
      <c r="BI11" s="594"/>
      <c r="BJ11" s="599"/>
      <c r="BK11" s="600"/>
      <c r="BL11" s="591"/>
      <c r="BM11" s="592"/>
      <c r="BN11" s="592"/>
      <c r="BO11" s="592"/>
      <c r="BP11" s="592"/>
      <c r="BQ11" s="601"/>
      <c r="BR11" s="588"/>
      <c r="BS11" s="602"/>
      <c r="BT11" s="603"/>
      <c r="BU11" s="604"/>
      <c r="BV11" s="588"/>
      <c r="BW11" s="585"/>
      <c r="BX11" s="585"/>
      <c r="BY11" s="585"/>
      <c r="BZ11" s="585"/>
      <c r="CA11" s="585"/>
      <c r="CB11" s="585"/>
      <c r="CC11" s="605"/>
      <c r="CD11" s="606"/>
      <c r="CE11" s="607"/>
      <c r="CF11" s="607"/>
      <c r="CG11" s="608"/>
      <c r="CH11" s="606"/>
      <c r="CI11" s="608"/>
      <c r="CJ11" s="609"/>
      <c r="CK11" s="607"/>
      <c r="CL11" s="607"/>
      <c r="CM11" s="608"/>
      <c r="CN11" s="609"/>
      <c r="CO11" s="607"/>
      <c r="CP11" s="607"/>
      <c r="CQ11" s="607"/>
      <c r="CR11" s="608"/>
      <c r="CS11" s="588"/>
      <c r="CT11" s="610"/>
      <c r="CU11" s="611"/>
      <c r="CV11" s="332"/>
      <c r="CW11" s="612"/>
      <c r="CX11" s="613"/>
      <c r="CY11" s="588"/>
      <c r="CZ11" s="585"/>
      <c r="DA11" s="614"/>
      <c r="DB11" s="615"/>
      <c r="DC11" s="616"/>
      <c r="DD11" s="594"/>
      <c r="DE11" s="590"/>
      <c r="DF11" s="588"/>
      <c r="DG11" s="585"/>
      <c r="DH11" s="585"/>
      <c r="DI11" s="617"/>
      <c r="DJ11" s="618"/>
      <c r="DK11" s="619"/>
      <c r="DL11" s="585"/>
      <c r="DM11" s="585"/>
      <c r="DN11" s="585"/>
      <c r="DO11" s="585"/>
      <c r="DP11" s="585"/>
      <c r="DQ11" s="605"/>
      <c r="DR11" s="588"/>
      <c r="DS11" s="590"/>
      <c r="DT11" s="588"/>
      <c r="DU11" s="585"/>
      <c r="DV11" s="620"/>
      <c r="DW11" s="588"/>
      <c r="DX11" s="585"/>
      <c r="DY11" s="590"/>
      <c r="DZ11" s="588"/>
      <c r="EA11" s="585"/>
      <c r="EB11" s="585"/>
      <c r="EC11" s="585"/>
      <c r="ED11" s="605"/>
      <c r="EE11" s="588"/>
      <c r="EF11" s="590"/>
      <c r="EG11" s="598"/>
      <c r="EH11" s="585"/>
      <c r="EI11" s="620"/>
      <c r="EJ11" s="588"/>
      <c r="EK11" s="585"/>
      <c r="EL11" s="620"/>
      <c r="EM11" s="615"/>
      <c r="EN11" s="621"/>
      <c r="EO11" s="622"/>
      <c r="EP11" s="623"/>
      <c r="EQ11" s="585"/>
      <c r="ER11" s="585"/>
      <c r="ES11" s="590"/>
      <c r="ET11" s="624">
        <f t="shared" ref="ET11:ET74" si="1">IF(AS11=$L$4,1,0)</f>
        <v>1</v>
      </c>
      <c r="EU11" s="625"/>
      <c r="EV11" s="625">
        <f t="shared" ref="EV11:EV74" si="2">ET11*EU11</f>
        <v>0</v>
      </c>
      <c r="EW11" s="625"/>
      <c r="EX11" s="626">
        <f t="shared" ref="EX11:EX74" si="3">$EX$8*SUM(BL11:BQ11)</f>
        <v>0</v>
      </c>
    </row>
    <row r="12" spans="1:154" s="363" customFormat="1" ht="20.100000000000001" customHeight="1" x14ac:dyDescent="0.2">
      <c r="A12" s="577" t="s">
        <v>483</v>
      </c>
      <c r="B12" s="578" t="s">
        <v>484</v>
      </c>
      <c r="C12" s="579"/>
      <c r="D12" s="313" t="s">
        <v>485</v>
      </c>
      <c r="E12" s="312">
        <v>320</v>
      </c>
      <c r="F12" s="580" t="s">
        <v>486</v>
      </c>
      <c r="G12" s="337" t="s">
        <v>490</v>
      </c>
      <c r="H12" s="582" t="s">
        <v>487</v>
      </c>
      <c r="I12" s="583" t="s">
        <v>491</v>
      </c>
      <c r="J12" s="584"/>
      <c r="K12" s="585"/>
      <c r="L12" s="341"/>
      <c r="M12" s="338"/>
      <c r="N12" s="586"/>
      <c r="O12" s="587"/>
      <c r="P12" s="588"/>
      <c r="Q12" s="589"/>
      <c r="R12" s="589"/>
      <c r="S12" s="585"/>
      <c r="T12" s="585"/>
      <c r="U12" s="585"/>
      <c r="V12" s="585"/>
      <c r="W12" s="585"/>
      <c r="X12" s="585"/>
      <c r="Y12" s="585"/>
      <c r="Z12" s="585"/>
      <c r="AA12" s="590"/>
      <c r="AB12" s="591"/>
      <c r="AC12" s="585"/>
      <c r="AD12" s="585"/>
      <c r="AE12" s="585"/>
      <c r="AF12" s="585"/>
      <c r="AG12" s="592"/>
      <c r="AH12" s="593" t="str">
        <f>IF(ISNUMBER(AG12),1296*S12*S12/AG12/AG12,"")</f>
        <v/>
      </c>
      <c r="AI12" s="594" t="str">
        <f>IF(ISNUMBER(AH12),100*AH12/(#REF!),"")</f>
        <v/>
      </c>
      <c r="AJ12" s="592"/>
      <c r="AK12" s="585"/>
      <c r="AL12" s="585"/>
      <c r="AM12" s="595"/>
      <c r="AN12" s="596"/>
      <c r="AO12" s="592" t="s">
        <v>494</v>
      </c>
      <c r="AP12" s="315"/>
      <c r="AQ12" s="592"/>
      <c r="AR12" s="592"/>
      <c r="AS12" s="630"/>
      <c r="AT12" s="318"/>
      <c r="AU12" s="325"/>
      <c r="AV12" s="325"/>
      <c r="AW12" s="325"/>
      <c r="AX12" s="315"/>
      <c r="AY12" s="321"/>
      <c r="AZ12" s="315"/>
      <c r="BA12" s="315"/>
      <c r="BB12" s="321"/>
      <c r="BC12" s="159"/>
      <c r="BD12" s="326"/>
      <c r="BE12" s="315"/>
      <c r="BF12" s="319"/>
      <c r="BG12" s="320"/>
      <c r="BH12" s="321"/>
      <c r="BI12" s="323"/>
      <c r="BJ12" s="262"/>
      <c r="BK12" s="342"/>
      <c r="BL12" s="320"/>
      <c r="BM12" s="321"/>
      <c r="BN12" s="321"/>
      <c r="BO12" s="321"/>
      <c r="BP12" s="321"/>
      <c r="BQ12" s="327"/>
      <c r="BR12" s="318"/>
      <c r="BS12" s="328"/>
      <c r="BT12" s="329"/>
      <c r="BU12" s="631"/>
      <c r="BV12" s="318"/>
      <c r="BW12" s="315"/>
      <c r="BX12" s="315"/>
      <c r="BY12" s="315"/>
      <c r="BZ12" s="315"/>
      <c r="CA12" s="315"/>
      <c r="CB12" s="315"/>
      <c r="CC12" s="330"/>
      <c r="CD12" s="318"/>
      <c r="CE12" s="315"/>
      <c r="CF12" s="315"/>
      <c r="CG12" s="319"/>
      <c r="CH12" s="318"/>
      <c r="CI12" s="319"/>
      <c r="CJ12" s="326"/>
      <c r="CK12" s="315"/>
      <c r="CL12" s="315"/>
      <c r="CM12" s="319"/>
      <c r="CN12" s="326"/>
      <c r="CO12" s="315"/>
      <c r="CP12" s="315"/>
      <c r="CQ12" s="315"/>
      <c r="CR12" s="319"/>
      <c r="CS12" s="318"/>
      <c r="CT12" s="331"/>
      <c r="CU12" s="188"/>
      <c r="CV12" s="332"/>
      <c r="CW12" s="333"/>
      <c r="CX12" s="334"/>
      <c r="CY12" s="318"/>
      <c r="CZ12" s="315"/>
      <c r="DA12" s="335"/>
      <c r="DB12" s="189"/>
      <c r="DC12" s="336"/>
      <c r="DD12" s="323"/>
      <c r="DE12" s="319"/>
      <c r="DF12" s="318"/>
      <c r="DG12" s="315"/>
      <c r="DH12" s="315"/>
      <c r="DI12" s="632"/>
      <c r="DJ12" s="633"/>
      <c r="DK12" s="634"/>
      <c r="DL12" s="315"/>
      <c r="DM12" s="315"/>
      <c r="DN12" s="315"/>
      <c r="DO12" s="315"/>
      <c r="DP12" s="315"/>
      <c r="DQ12" s="330"/>
      <c r="DR12" s="318"/>
      <c r="DS12" s="319"/>
      <c r="DT12" s="318"/>
      <c r="DU12" s="315"/>
      <c r="DV12" s="635"/>
      <c r="DW12" s="318"/>
      <c r="DX12" s="315"/>
      <c r="DY12" s="319"/>
      <c r="DZ12" s="318"/>
      <c r="EA12" s="315"/>
      <c r="EB12" s="315"/>
      <c r="EC12" s="315"/>
      <c r="ED12" s="330"/>
      <c r="EE12" s="318"/>
      <c r="EF12" s="319"/>
      <c r="EG12" s="326"/>
      <c r="EH12" s="315"/>
      <c r="EI12" s="635"/>
      <c r="EJ12" s="318"/>
      <c r="EK12" s="315"/>
      <c r="EL12" s="635"/>
      <c r="EM12" s="189"/>
      <c r="EN12" s="636"/>
      <c r="EO12" s="637"/>
      <c r="EP12" s="638"/>
      <c r="EQ12" s="315"/>
      <c r="ER12" s="315"/>
      <c r="ES12" s="319"/>
      <c r="ET12" s="639">
        <f t="shared" si="1"/>
        <v>1</v>
      </c>
      <c r="EU12" s="640"/>
      <c r="EV12" s="640">
        <f t="shared" si="2"/>
        <v>0</v>
      </c>
      <c r="EW12" s="640"/>
      <c r="EX12" s="641">
        <f t="shared" si="3"/>
        <v>0</v>
      </c>
    </row>
    <row r="13" spans="1:154" s="363" customFormat="1" ht="20.100000000000001" customHeight="1" x14ac:dyDescent="0.2">
      <c r="A13" s="577" t="s">
        <v>483</v>
      </c>
      <c r="B13" s="578" t="s">
        <v>484</v>
      </c>
      <c r="C13" s="579"/>
      <c r="D13" s="313" t="s">
        <v>485</v>
      </c>
      <c r="E13" s="312"/>
      <c r="F13" s="580" t="s">
        <v>486</v>
      </c>
      <c r="G13" s="337"/>
      <c r="H13" s="582" t="s">
        <v>487</v>
      </c>
      <c r="I13" s="583" t="s">
        <v>491</v>
      </c>
      <c r="J13" s="584"/>
      <c r="K13" s="585"/>
      <c r="L13" s="341"/>
      <c r="M13" s="338"/>
      <c r="N13" s="586"/>
      <c r="O13" s="587"/>
      <c r="P13" s="588"/>
      <c r="Q13" s="589"/>
      <c r="R13" s="589"/>
      <c r="S13" s="585"/>
      <c r="T13" s="585"/>
      <c r="U13" s="585"/>
      <c r="V13" s="585"/>
      <c r="W13" s="585"/>
      <c r="X13" s="585"/>
      <c r="Y13" s="585"/>
      <c r="Z13" s="585"/>
      <c r="AA13" s="590"/>
      <c r="AB13" s="591"/>
      <c r="AC13" s="585"/>
      <c r="AD13" s="585"/>
      <c r="AE13" s="585"/>
      <c r="AF13" s="585"/>
      <c r="AG13" s="592"/>
      <c r="AH13" s="593" t="str">
        <f>IF(ISNUMBER(AG13),1296*S13*S13/AG13/AG13,"")</f>
        <v/>
      </c>
      <c r="AI13" s="594" t="str">
        <f>IF(ISNUMBER(AH13),100*AH13/(#REF!),"")</f>
        <v/>
      </c>
      <c r="AJ13" s="592"/>
      <c r="AK13" s="585"/>
      <c r="AL13" s="585"/>
      <c r="AM13" s="595"/>
      <c r="AN13" s="596"/>
      <c r="AO13" s="592" t="s">
        <v>494</v>
      </c>
      <c r="AP13" s="315"/>
      <c r="AQ13" s="321"/>
      <c r="AR13" s="321"/>
      <c r="AS13" s="642"/>
      <c r="AT13" s="318"/>
      <c r="AU13" s="325"/>
      <c r="AV13" s="325"/>
      <c r="AW13" s="325"/>
      <c r="AX13" s="315"/>
      <c r="AY13" s="321"/>
      <c r="AZ13" s="315"/>
      <c r="BA13" s="315"/>
      <c r="BB13" s="321"/>
      <c r="BC13" s="159"/>
      <c r="BD13" s="326"/>
      <c r="BE13" s="315"/>
      <c r="BF13" s="319"/>
      <c r="BG13" s="320"/>
      <c r="BH13" s="321"/>
      <c r="BI13" s="323"/>
      <c r="BJ13" s="262"/>
      <c r="BK13" s="342"/>
      <c r="BL13" s="320"/>
      <c r="BM13" s="321"/>
      <c r="BN13" s="321"/>
      <c r="BO13" s="321"/>
      <c r="BP13" s="321"/>
      <c r="BQ13" s="327"/>
      <c r="BR13" s="318"/>
      <c r="BS13" s="328"/>
      <c r="BT13" s="329"/>
      <c r="BU13" s="631"/>
      <c r="BV13" s="318"/>
      <c r="BW13" s="315"/>
      <c r="BX13" s="315"/>
      <c r="BY13" s="315"/>
      <c r="BZ13" s="315"/>
      <c r="CA13" s="315"/>
      <c r="CB13" s="315"/>
      <c r="CC13" s="330"/>
      <c r="CD13" s="318"/>
      <c r="CE13" s="315"/>
      <c r="CF13" s="315"/>
      <c r="CG13" s="319"/>
      <c r="CH13" s="318"/>
      <c r="CI13" s="319"/>
      <c r="CJ13" s="326"/>
      <c r="CK13" s="315"/>
      <c r="CL13" s="315"/>
      <c r="CM13" s="319"/>
      <c r="CN13" s="326"/>
      <c r="CO13" s="315"/>
      <c r="CP13" s="315"/>
      <c r="CQ13" s="315"/>
      <c r="CR13" s="319"/>
      <c r="CS13" s="318"/>
      <c r="CT13" s="331"/>
      <c r="CU13" s="188"/>
      <c r="CV13" s="332"/>
      <c r="CW13" s="333"/>
      <c r="CX13" s="334"/>
      <c r="CY13" s="318"/>
      <c r="CZ13" s="315"/>
      <c r="DA13" s="335"/>
      <c r="DB13" s="189"/>
      <c r="DC13" s="336"/>
      <c r="DD13" s="323"/>
      <c r="DE13" s="319"/>
      <c r="DF13" s="318"/>
      <c r="DG13" s="643"/>
      <c r="DH13" s="315"/>
      <c r="DI13" s="632"/>
      <c r="DJ13" s="633"/>
      <c r="DK13" s="318"/>
      <c r="DL13" s="315"/>
      <c r="DM13" s="315"/>
      <c r="DN13" s="315"/>
      <c r="DO13" s="315"/>
      <c r="DP13" s="315"/>
      <c r="DQ13" s="330"/>
      <c r="DR13" s="318"/>
      <c r="DS13" s="319"/>
      <c r="DT13" s="318"/>
      <c r="DU13" s="315"/>
      <c r="DV13" s="635"/>
      <c r="DW13" s="318"/>
      <c r="DX13" s="315"/>
      <c r="DY13" s="319"/>
      <c r="DZ13" s="318"/>
      <c r="EA13" s="315"/>
      <c r="EB13" s="315"/>
      <c r="EC13" s="315"/>
      <c r="ED13" s="330"/>
      <c r="EE13" s="318"/>
      <c r="EF13" s="319"/>
      <c r="EG13" s="326"/>
      <c r="EH13" s="315"/>
      <c r="EI13" s="635"/>
      <c r="EJ13" s="318"/>
      <c r="EK13" s="315"/>
      <c r="EL13" s="635"/>
      <c r="EM13" s="189"/>
      <c r="EN13" s="636"/>
      <c r="EO13" s="637"/>
      <c r="EP13" s="638"/>
      <c r="EQ13" s="315"/>
      <c r="ER13" s="315"/>
      <c r="ES13" s="319"/>
      <c r="ET13" s="639">
        <f t="shared" si="1"/>
        <v>1</v>
      </c>
      <c r="EU13" s="640"/>
      <c r="EV13" s="640">
        <f t="shared" si="2"/>
        <v>0</v>
      </c>
      <c r="EW13" s="640"/>
      <c r="EX13" s="641">
        <f t="shared" si="3"/>
        <v>0</v>
      </c>
    </row>
    <row r="14" spans="1:154" s="363" customFormat="1" ht="20.100000000000001" customHeight="1" x14ac:dyDescent="0.2">
      <c r="A14" s="577" t="s">
        <v>488</v>
      </c>
      <c r="B14" s="578" t="s">
        <v>484</v>
      </c>
      <c r="C14" s="312"/>
      <c r="D14" s="313" t="s">
        <v>485</v>
      </c>
      <c r="E14" s="312"/>
      <c r="F14" s="580" t="s">
        <v>486</v>
      </c>
      <c r="G14" s="337"/>
      <c r="H14" s="582" t="s">
        <v>487</v>
      </c>
      <c r="I14" s="627"/>
      <c r="J14" s="314"/>
      <c r="K14" s="315"/>
      <c r="L14" s="628"/>
      <c r="M14" s="629"/>
      <c r="N14" s="316"/>
      <c r="O14" s="317"/>
      <c r="P14" s="318"/>
      <c r="Q14" s="301"/>
      <c r="R14" s="301"/>
      <c r="S14" s="315"/>
      <c r="T14" s="315"/>
      <c r="U14" s="315"/>
      <c r="V14" s="315"/>
      <c r="W14" s="315"/>
      <c r="X14" s="315"/>
      <c r="Y14" s="315"/>
      <c r="Z14" s="315"/>
      <c r="AA14" s="319"/>
      <c r="AB14" s="320"/>
      <c r="AC14" s="315"/>
      <c r="AD14" s="315"/>
      <c r="AE14" s="315"/>
      <c r="AF14" s="315"/>
      <c r="AG14" s="321"/>
      <c r="AH14" s="322" t="str">
        <f t="shared" ref="AH14" si="4">IF(ISNUMBER(AG14),1296*S14*S14/AG14/AG14,"")</f>
        <v/>
      </c>
      <c r="AI14" s="323" t="str">
        <f>IF(ISNUMBER(AH14),100*AH14/(#REF!),"")</f>
        <v/>
      </c>
      <c r="AJ14" s="321"/>
      <c r="AK14" s="315"/>
      <c r="AL14" s="315"/>
      <c r="AM14" s="324"/>
      <c r="AN14" s="325"/>
      <c r="AO14" s="321"/>
      <c r="AP14" s="315"/>
      <c r="AQ14" s="321"/>
      <c r="AR14" s="321"/>
      <c r="AS14" s="642"/>
      <c r="AT14" s="318"/>
      <c r="AU14" s="325"/>
      <c r="AV14" s="325"/>
      <c r="AW14" s="325"/>
      <c r="AX14" s="315"/>
      <c r="AY14" s="321"/>
      <c r="AZ14" s="315"/>
      <c r="BA14" s="315"/>
      <c r="BB14" s="321"/>
      <c r="BC14" s="159"/>
      <c r="BD14" s="326"/>
      <c r="BE14" s="315"/>
      <c r="BF14" s="319"/>
      <c r="BG14" s="320"/>
      <c r="BH14" s="321"/>
      <c r="BI14" s="323"/>
      <c r="BJ14" s="262"/>
      <c r="BK14" s="342"/>
      <c r="BL14" s="320"/>
      <c r="BM14" s="321"/>
      <c r="BN14" s="321"/>
      <c r="BO14" s="321"/>
      <c r="BP14" s="321"/>
      <c r="BQ14" s="327"/>
      <c r="BR14" s="318"/>
      <c r="BS14" s="328"/>
      <c r="BT14" s="329"/>
      <c r="BU14" s="631"/>
      <c r="BV14" s="318"/>
      <c r="BW14" s="315"/>
      <c r="BX14" s="315"/>
      <c r="BY14" s="315"/>
      <c r="BZ14" s="315"/>
      <c r="CA14" s="315"/>
      <c r="CB14" s="315"/>
      <c r="CC14" s="330"/>
      <c r="CD14" s="318"/>
      <c r="CE14" s="315"/>
      <c r="CF14" s="315"/>
      <c r="CG14" s="319"/>
      <c r="CH14" s="318"/>
      <c r="CI14" s="319"/>
      <c r="CJ14" s="326"/>
      <c r="CK14" s="315"/>
      <c r="CL14" s="315"/>
      <c r="CM14" s="319"/>
      <c r="CN14" s="326"/>
      <c r="CO14" s="315"/>
      <c r="CP14" s="315"/>
      <c r="CQ14" s="315"/>
      <c r="CR14" s="319"/>
      <c r="CS14" s="318"/>
      <c r="CT14" s="331"/>
      <c r="CU14" s="188"/>
      <c r="CV14" s="332"/>
      <c r="CW14" s="333"/>
      <c r="CX14" s="334"/>
      <c r="CY14" s="318"/>
      <c r="CZ14" s="643"/>
      <c r="DA14" s="335"/>
      <c r="DB14" s="189"/>
      <c r="DC14" s="336"/>
      <c r="DD14" s="323"/>
      <c r="DE14" s="319"/>
      <c r="DF14" s="318"/>
      <c r="DG14" s="643"/>
      <c r="DH14" s="315"/>
      <c r="DI14" s="632"/>
      <c r="DJ14" s="633"/>
      <c r="DK14" s="318"/>
      <c r="DL14" s="315"/>
      <c r="DM14" s="315"/>
      <c r="DN14" s="315"/>
      <c r="DO14" s="315"/>
      <c r="DP14" s="315"/>
      <c r="DQ14" s="330"/>
      <c r="DR14" s="318"/>
      <c r="DS14" s="319"/>
      <c r="DT14" s="318"/>
      <c r="DU14" s="315"/>
      <c r="DV14" s="635"/>
      <c r="DW14" s="318"/>
      <c r="DX14" s="315"/>
      <c r="DY14" s="319"/>
      <c r="DZ14" s="318"/>
      <c r="EA14" s="315"/>
      <c r="EB14" s="315"/>
      <c r="EC14" s="315"/>
      <c r="ED14" s="330"/>
      <c r="EE14" s="318"/>
      <c r="EF14" s="319"/>
      <c r="EG14" s="326"/>
      <c r="EH14" s="315"/>
      <c r="EI14" s="635"/>
      <c r="EJ14" s="318"/>
      <c r="EK14" s="315"/>
      <c r="EL14" s="635"/>
      <c r="EM14" s="189"/>
      <c r="EN14" s="636"/>
      <c r="EO14" s="637"/>
      <c r="EP14" s="638"/>
      <c r="EQ14" s="315"/>
      <c r="ER14" s="315"/>
      <c r="ES14" s="319"/>
      <c r="ET14" s="639">
        <f t="shared" si="1"/>
        <v>1</v>
      </c>
      <c r="EU14" s="640"/>
      <c r="EV14" s="640">
        <f t="shared" si="2"/>
        <v>0</v>
      </c>
      <c r="EW14" s="640"/>
      <c r="EX14" s="641">
        <f t="shared" si="3"/>
        <v>0</v>
      </c>
    </row>
    <row r="15" spans="1:154" s="363" customFormat="1" ht="20.100000000000001" customHeight="1" x14ac:dyDescent="0.2">
      <c r="A15" s="577" t="s">
        <v>489</v>
      </c>
      <c r="B15" s="578" t="s">
        <v>484</v>
      </c>
      <c r="C15" s="579">
        <v>1337</v>
      </c>
      <c r="D15" s="313" t="s">
        <v>485</v>
      </c>
      <c r="E15" s="312">
        <v>320</v>
      </c>
      <c r="F15" s="580" t="s">
        <v>486</v>
      </c>
      <c r="G15" s="337" t="s">
        <v>490</v>
      </c>
      <c r="H15" s="582" t="s">
        <v>487</v>
      </c>
      <c r="I15" s="583" t="s">
        <v>492</v>
      </c>
      <c r="J15" s="584"/>
      <c r="K15" s="585"/>
      <c r="L15" s="341"/>
      <c r="M15" s="338"/>
      <c r="N15" s="586"/>
      <c r="O15" s="587"/>
      <c r="P15" s="588"/>
      <c r="Q15" s="589"/>
      <c r="R15" s="589"/>
      <c r="S15" s="585"/>
      <c r="T15" s="585"/>
      <c r="U15" s="585"/>
      <c r="V15" s="585"/>
      <c r="W15" s="585"/>
      <c r="X15" s="585"/>
      <c r="Y15" s="585"/>
      <c r="Z15" s="585"/>
      <c r="AA15" s="590"/>
      <c r="AB15" s="591"/>
      <c r="AC15" s="585"/>
      <c r="AD15" s="585"/>
      <c r="AE15" s="585"/>
      <c r="AF15" s="585"/>
      <c r="AG15" s="592"/>
      <c r="AH15" s="593" t="str">
        <f>IF(ISNUMBER(AG15),1296*S15*S15/AG15/AG15,"")</f>
        <v/>
      </c>
      <c r="AI15" s="594" t="str">
        <f>IF(ISNUMBER(AH15),100*AH15/(#REF!),"")</f>
        <v/>
      </c>
      <c r="AJ15" s="592"/>
      <c r="AK15" s="585"/>
      <c r="AL15" s="585"/>
      <c r="AM15" s="595"/>
      <c r="AN15" s="596"/>
      <c r="AO15" s="592" t="s">
        <v>495</v>
      </c>
      <c r="AP15" s="315"/>
      <c r="AQ15" s="321"/>
      <c r="AR15" s="321"/>
      <c r="AS15" s="642"/>
      <c r="AT15" s="318"/>
      <c r="AU15" s="325"/>
      <c r="AV15" s="325"/>
      <c r="AW15" s="325"/>
      <c r="AX15" s="315"/>
      <c r="AY15" s="321"/>
      <c r="AZ15" s="315"/>
      <c r="BA15" s="315"/>
      <c r="BB15" s="321"/>
      <c r="BC15" s="159"/>
      <c r="BD15" s="326"/>
      <c r="BE15" s="315"/>
      <c r="BF15" s="319"/>
      <c r="BG15" s="320"/>
      <c r="BH15" s="321"/>
      <c r="BI15" s="323"/>
      <c r="BJ15" s="262"/>
      <c r="BK15" s="342"/>
      <c r="BL15" s="320"/>
      <c r="BM15" s="321"/>
      <c r="BN15" s="321"/>
      <c r="BO15" s="321"/>
      <c r="BP15" s="321"/>
      <c r="BQ15" s="327"/>
      <c r="BR15" s="318"/>
      <c r="BS15" s="328"/>
      <c r="BT15" s="329"/>
      <c r="BU15" s="631"/>
      <c r="BV15" s="318"/>
      <c r="BW15" s="315"/>
      <c r="BX15" s="315"/>
      <c r="BY15" s="315"/>
      <c r="BZ15" s="315"/>
      <c r="CA15" s="315"/>
      <c r="CB15" s="315"/>
      <c r="CC15" s="330"/>
      <c r="CD15" s="318"/>
      <c r="CE15" s="315"/>
      <c r="CF15" s="315"/>
      <c r="CG15" s="319"/>
      <c r="CH15" s="318"/>
      <c r="CI15" s="319"/>
      <c r="CJ15" s="326"/>
      <c r="CK15" s="315"/>
      <c r="CL15" s="315"/>
      <c r="CM15" s="319"/>
      <c r="CN15" s="326"/>
      <c r="CO15" s="315"/>
      <c r="CP15" s="315"/>
      <c r="CQ15" s="315"/>
      <c r="CR15" s="319"/>
      <c r="CS15" s="318"/>
      <c r="CT15" s="331"/>
      <c r="CU15" s="188"/>
      <c r="CV15" s="332"/>
      <c r="CW15" s="333"/>
      <c r="CX15" s="334"/>
      <c r="CY15" s="318"/>
      <c r="CZ15" s="643"/>
      <c r="DA15" s="645"/>
      <c r="DB15" s="189"/>
      <c r="DC15" s="336"/>
      <c r="DD15" s="323"/>
      <c r="DE15" s="319"/>
      <c r="DF15" s="318"/>
      <c r="DG15" s="643"/>
      <c r="DH15" s="315"/>
      <c r="DI15" s="632"/>
      <c r="DJ15" s="633"/>
      <c r="DK15" s="318"/>
      <c r="DL15" s="315"/>
      <c r="DM15" s="315"/>
      <c r="DN15" s="315"/>
      <c r="DO15" s="315"/>
      <c r="DP15" s="315"/>
      <c r="DQ15" s="330"/>
      <c r="DR15" s="318"/>
      <c r="DS15" s="319"/>
      <c r="DT15" s="318"/>
      <c r="DU15" s="315"/>
      <c r="DV15" s="635"/>
      <c r="DW15" s="318"/>
      <c r="DX15" s="315"/>
      <c r="DY15" s="319"/>
      <c r="DZ15" s="318"/>
      <c r="EA15" s="315"/>
      <c r="EB15" s="315"/>
      <c r="EC15" s="315"/>
      <c r="ED15" s="330"/>
      <c r="EE15" s="318"/>
      <c r="EF15" s="319"/>
      <c r="EG15" s="326"/>
      <c r="EH15" s="315"/>
      <c r="EI15" s="635"/>
      <c r="EJ15" s="318"/>
      <c r="EK15" s="315"/>
      <c r="EL15" s="635"/>
      <c r="EM15" s="189"/>
      <c r="EN15" s="636"/>
      <c r="EO15" s="637"/>
      <c r="EP15" s="638"/>
      <c r="EQ15" s="315"/>
      <c r="ER15" s="315"/>
      <c r="ES15" s="319"/>
      <c r="ET15" s="639">
        <f t="shared" si="1"/>
        <v>1</v>
      </c>
      <c r="EU15" s="640"/>
      <c r="EV15" s="640">
        <f t="shared" si="2"/>
        <v>0</v>
      </c>
      <c r="EW15" s="640"/>
      <c r="EX15" s="641">
        <f t="shared" si="3"/>
        <v>0</v>
      </c>
    </row>
    <row r="16" spans="1:154" s="363" customFormat="1" ht="20.100000000000001" customHeight="1" x14ac:dyDescent="0.2">
      <c r="A16" s="646" t="s">
        <v>339</v>
      </c>
      <c r="B16" s="578" t="s">
        <v>484</v>
      </c>
      <c r="C16" s="579"/>
      <c r="D16" s="313" t="s">
        <v>485</v>
      </c>
      <c r="E16" s="312">
        <v>320</v>
      </c>
      <c r="F16" s="580" t="s">
        <v>486</v>
      </c>
      <c r="G16" s="337" t="s">
        <v>490</v>
      </c>
      <c r="H16" s="582" t="s">
        <v>487</v>
      </c>
      <c r="I16" s="583" t="s">
        <v>492</v>
      </c>
      <c r="J16" s="584"/>
      <c r="K16" s="585"/>
      <c r="L16" s="341"/>
      <c r="M16" s="338"/>
      <c r="N16" s="586"/>
      <c r="O16" s="587"/>
      <c r="P16" s="588"/>
      <c r="Q16" s="589"/>
      <c r="R16" s="589"/>
      <c r="S16" s="585"/>
      <c r="T16" s="585"/>
      <c r="U16" s="585"/>
      <c r="V16" s="585"/>
      <c r="W16" s="585"/>
      <c r="X16" s="585"/>
      <c r="Y16" s="585"/>
      <c r="Z16" s="585"/>
      <c r="AA16" s="590"/>
      <c r="AB16" s="591"/>
      <c r="AC16" s="585"/>
      <c r="AD16" s="585"/>
      <c r="AE16" s="585"/>
      <c r="AF16" s="585"/>
      <c r="AG16" s="592"/>
      <c r="AH16" s="593" t="str">
        <f>IF(ISNUMBER(AG16),1296*S16*S16/AG16/AG16,"")</f>
        <v/>
      </c>
      <c r="AI16" s="594" t="str">
        <f>IF(ISNUMBER(AH16),100*AH16/(#REF!),"")</f>
        <v/>
      </c>
      <c r="AJ16" s="592"/>
      <c r="AK16" s="585"/>
      <c r="AL16" s="585"/>
      <c r="AM16" s="595"/>
      <c r="AN16" s="596"/>
      <c r="AO16" s="592" t="s">
        <v>495</v>
      </c>
      <c r="AP16" s="315"/>
      <c r="AQ16" s="321"/>
      <c r="AR16" s="321"/>
      <c r="AS16" s="642"/>
      <c r="AT16" s="318"/>
      <c r="AU16" s="325"/>
      <c r="AV16" s="325"/>
      <c r="AW16" s="325"/>
      <c r="AX16" s="315"/>
      <c r="AY16" s="321"/>
      <c r="AZ16" s="315"/>
      <c r="BA16" s="315"/>
      <c r="BB16" s="321"/>
      <c r="BC16" s="159"/>
      <c r="BD16" s="326"/>
      <c r="BE16" s="315"/>
      <c r="BF16" s="319"/>
      <c r="BG16" s="320"/>
      <c r="BH16" s="321"/>
      <c r="BI16" s="323"/>
      <c r="BJ16" s="262"/>
      <c r="BK16" s="342"/>
      <c r="BL16" s="320"/>
      <c r="BM16" s="321"/>
      <c r="BN16" s="321"/>
      <c r="BO16" s="321"/>
      <c r="BP16" s="321"/>
      <c r="BQ16" s="327"/>
      <c r="BR16" s="318"/>
      <c r="BS16" s="328"/>
      <c r="BT16" s="329"/>
      <c r="BU16" s="631"/>
      <c r="BV16" s="318"/>
      <c r="BW16" s="315"/>
      <c r="BX16" s="315"/>
      <c r="BY16" s="315"/>
      <c r="BZ16" s="315"/>
      <c r="CA16" s="315"/>
      <c r="CB16" s="315"/>
      <c r="CC16" s="330"/>
      <c r="CD16" s="318"/>
      <c r="CE16" s="315"/>
      <c r="CF16" s="315"/>
      <c r="CG16" s="319"/>
      <c r="CH16" s="318"/>
      <c r="CI16" s="319"/>
      <c r="CJ16" s="326"/>
      <c r="CK16" s="315"/>
      <c r="CL16" s="315"/>
      <c r="CM16" s="319"/>
      <c r="CN16" s="326"/>
      <c r="CO16" s="315"/>
      <c r="CP16" s="315"/>
      <c r="CQ16" s="315"/>
      <c r="CR16" s="319"/>
      <c r="CS16" s="318"/>
      <c r="CT16" s="331"/>
      <c r="CU16" s="188"/>
      <c r="CV16" s="332"/>
      <c r="CW16" s="333"/>
      <c r="CX16" s="334"/>
      <c r="CY16" s="318"/>
      <c r="CZ16" s="643"/>
      <c r="DA16" s="335"/>
      <c r="DB16" s="189"/>
      <c r="DC16" s="336"/>
      <c r="DD16" s="323"/>
      <c r="DE16" s="319"/>
      <c r="DF16" s="318"/>
      <c r="DG16" s="643"/>
      <c r="DH16" s="315"/>
      <c r="DI16" s="632"/>
      <c r="DJ16" s="633"/>
      <c r="DK16" s="318"/>
      <c r="DL16" s="315"/>
      <c r="DM16" s="315"/>
      <c r="DN16" s="315"/>
      <c r="DO16" s="315"/>
      <c r="DP16" s="315"/>
      <c r="DQ16" s="330"/>
      <c r="DR16" s="318"/>
      <c r="DS16" s="319"/>
      <c r="DT16" s="318"/>
      <c r="DU16" s="315"/>
      <c r="DV16" s="635"/>
      <c r="DW16" s="318"/>
      <c r="DX16" s="315"/>
      <c r="DY16" s="319"/>
      <c r="DZ16" s="318"/>
      <c r="EA16" s="315"/>
      <c r="EB16" s="315"/>
      <c r="EC16" s="315"/>
      <c r="ED16" s="330"/>
      <c r="EE16" s="318"/>
      <c r="EF16" s="319"/>
      <c r="EG16" s="326"/>
      <c r="EH16" s="315"/>
      <c r="EI16" s="635"/>
      <c r="EJ16" s="318"/>
      <c r="EK16" s="315"/>
      <c r="EL16" s="635"/>
      <c r="EM16" s="189"/>
      <c r="EN16" s="636"/>
      <c r="EO16" s="637"/>
      <c r="EP16" s="638"/>
      <c r="EQ16" s="315"/>
      <c r="ER16" s="315"/>
      <c r="ES16" s="319"/>
      <c r="ET16" s="639">
        <f t="shared" si="1"/>
        <v>1</v>
      </c>
      <c r="EU16" s="640"/>
      <c r="EV16" s="640">
        <f t="shared" si="2"/>
        <v>0</v>
      </c>
      <c r="EW16" s="640"/>
      <c r="EX16" s="641">
        <f t="shared" si="3"/>
        <v>0</v>
      </c>
    </row>
    <row r="17" spans="1:154" s="363" customFormat="1" ht="20.100000000000001" customHeight="1" x14ac:dyDescent="0.2">
      <c r="A17" s="646" t="s">
        <v>340</v>
      </c>
      <c r="B17" s="578" t="s">
        <v>484</v>
      </c>
      <c r="C17" s="579"/>
      <c r="D17" s="313" t="s">
        <v>485</v>
      </c>
      <c r="E17" s="312"/>
      <c r="F17" s="580" t="s">
        <v>486</v>
      </c>
      <c r="G17" s="337"/>
      <c r="H17" s="582" t="s">
        <v>487</v>
      </c>
      <c r="I17" s="583" t="s">
        <v>492</v>
      </c>
      <c r="J17" s="584"/>
      <c r="K17" s="585"/>
      <c r="L17" s="341"/>
      <c r="M17" s="338"/>
      <c r="N17" s="586"/>
      <c r="O17" s="587"/>
      <c r="P17" s="588"/>
      <c r="Q17" s="589"/>
      <c r="R17" s="589"/>
      <c r="S17" s="585"/>
      <c r="T17" s="585"/>
      <c r="U17" s="585"/>
      <c r="V17" s="585"/>
      <c r="W17" s="585"/>
      <c r="X17" s="585"/>
      <c r="Y17" s="585"/>
      <c r="Z17" s="585"/>
      <c r="AA17" s="590"/>
      <c r="AB17" s="591"/>
      <c r="AC17" s="585"/>
      <c r="AD17" s="585"/>
      <c r="AE17" s="585"/>
      <c r="AF17" s="585"/>
      <c r="AG17" s="592"/>
      <c r="AH17" s="593" t="str">
        <f>IF(ISNUMBER(AG17),1296*S17*S17/AG17/AG17,"")</f>
        <v/>
      </c>
      <c r="AI17" s="594" t="str">
        <f>IF(ISNUMBER(AH17),100*AH17/(#REF!),"")</f>
        <v/>
      </c>
      <c r="AJ17" s="592"/>
      <c r="AK17" s="585"/>
      <c r="AL17" s="585"/>
      <c r="AM17" s="595"/>
      <c r="AN17" s="596"/>
      <c r="AO17" s="592" t="s">
        <v>495</v>
      </c>
      <c r="AP17" s="315"/>
      <c r="AQ17" s="321"/>
      <c r="AR17" s="321"/>
      <c r="AS17" s="630"/>
      <c r="AT17" s="318"/>
      <c r="AU17" s="325"/>
      <c r="AV17" s="325"/>
      <c r="AW17" s="325"/>
      <c r="AX17" s="315"/>
      <c r="AY17" s="321"/>
      <c r="AZ17" s="315"/>
      <c r="BA17" s="315"/>
      <c r="BB17" s="321"/>
      <c r="BC17" s="159"/>
      <c r="BD17" s="326"/>
      <c r="BE17" s="315"/>
      <c r="BF17" s="319"/>
      <c r="BG17" s="320"/>
      <c r="BH17" s="321"/>
      <c r="BI17" s="323"/>
      <c r="BJ17" s="262"/>
      <c r="BK17" s="342"/>
      <c r="BL17" s="320"/>
      <c r="BM17" s="321"/>
      <c r="BN17" s="321"/>
      <c r="BO17" s="321"/>
      <c r="BP17" s="321"/>
      <c r="BQ17" s="327"/>
      <c r="BR17" s="318"/>
      <c r="BS17" s="328"/>
      <c r="BT17" s="329"/>
      <c r="BU17" s="631"/>
      <c r="BV17" s="318"/>
      <c r="BW17" s="315"/>
      <c r="BX17" s="315"/>
      <c r="BY17" s="315"/>
      <c r="BZ17" s="315"/>
      <c r="CA17" s="315"/>
      <c r="CB17" s="315"/>
      <c r="CC17" s="330"/>
      <c r="CD17" s="318"/>
      <c r="CE17" s="315"/>
      <c r="CF17" s="315"/>
      <c r="CG17" s="319"/>
      <c r="CH17" s="318"/>
      <c r="CI17" s="319"/>
      <c r="CJ17" s="326"/>
      <c r="CK17" s="315"/>
      <c r="CL17" s="315"/>
      <c r="CM17" s="319"/>
      <c r="CN17" s="326"/>
      <c r="CO17" s="315"/>
      <c r="CP17" s="315"/>
      <c r="CQ17" s="315"/>
      <c r="CR17" s="319"/>
      <c r="CS17" s="318"/>
      <c r="CT17" s="331"/>
      <c r="CU17" s="188"/>
      <c r="CV17" s="332"/>
      <c r="CW17" s="333"/>
      <c r="CX17" s="334"/>
      <c r="CY17" s="318"/>
      <c r="CZ17" s="643"/>
      <c r="DA17" s="335"/>
      <c r="DB17" s="189"/>
      <c r="DC17" s="336"/>
      <c r="DD17" s="323"/>
      <c r="DE17" s="319"/>
      <c r="DF17" s="318"/>
      <c r="DG17" s="643"/>
      <c r="DH17" s="315"/>
      <c r="DI17" s="632"/>
      <c r="DJ17" s="633"/>
      <c r="DK17" s="318"/>
      <c r="DL17" s="315"/>
      <c r="DM17" s="315"/>
      <c r="DN17" s="315"/>
      <c r="DO17" s="315"/>
      <c r="DP17" s="315"/>
      <c r="DQ17" s="330"/>
      <c r="DR17" s="318"/>
      <c r="DS17" s="319"/>
      <c r="DT17" s="318"/>
      <c r="DU17" s="315"/>
      <c r="DV17" s="635"/>
      <c r="DW17" s="318"/>
      <c r="DX17" s="315"/>
      <c r="DY17" s="319"/>
      <c r="DZ17" s="318"/>
      <c r="EA17" s="315"/>
      <c r="EB17" s="315"/>
      <c r="EC17" s="315"/>
      <c r="ED17" s="330"/>
      <c r="EE17" s="318"/>
      <c r="EF17" s="319"/>
      <c r="EG17" s="326"/>
      <c r="EH17" s="315"/>
      <c r="EI17" s="635"/>
      <c r="EJ17" s="318"/>
      <c r="EK17" s="315"/>
      <c r="EL17" s="635"/>
      <c r="EM17" s="189"/>
      <c r="EN17" s="636"/>
      <c r="EO17" s="637"/>
      <c r="EP17" s="638"/>
      <c r="EQ17" s="315"/>
      <c r="ER17" s="315"/>
      <c r="ES17" s="319"/>
      <c r="ET17" s="639">
        <f t="shared" si="1"/>
        <v>1</v>
      </c>
      <c r="EU17" s="640"/>
      <c r="EV17" s="640">
        <f t="shared" si="2"/>
        <v>0</v>
      </c>
      <c r="EW17" s="640"/>
      <c r="EX17" s="641">
        <f t="shared" si="3"/>
        <v>0</v>
      </c>
    </row>
    <row r="18" spans="1:154" s="363" customFormat="1" ht="20.100000000000001" customHeight="1" x14ac:dyDescent="0.2">
      <c r="A18" s="646" t="s">
        <v>341</v>
      </c>
      <c r="B18" s="578" t="s">
        <v>484</v>
      </c>
      <c r="C18" s="579"/>
      <c r="D18" s="313" t="s">
        <v>485</v>
      </c>
      <c r="E18" s="312"/>
      <c r="F18" s="580" t="s">
        <v>486</v>
      </c>
      <c r="G18" s="337"/>
      <c r="H18" s="582" t="s">
        <v>487</v>
      </c>
      <c r="I18" s="583"/>
      <c r="J18" s="584"/>
      <c r="K18" s="585"/>
      <c r="L18" s="341"/>
      <c r="M18" s="338"/>
      <c r="N18" s="586"/>
      <c r="O18" s="587"/>
      <c r="P18" s="588"/>
      <c r="Q18" s="589"/>
      <c r="R18" s="589"/>
      <c r="S18" s="585"/>
      <c r="T18" s="585"/>
      <c r="U18" s="585"/>
      <c r="V18" s="585"/>
      <c r="W18" s="585"/>
      <c r="X18" s="585"/>
      <c r="Y18" s="585"/>
      <c r="Z18" s="585"/>
      <c r="AA18" s="590"/>
      <c r="AB18" s="591"/>
      <c r="AC18" s="585"/>
      <c r="AD18" s="585"/>
      <c r="AE18" s="585"/>
      <c r="AF18" s="585"/>
      <c r="AG18" s="592"/>
      <c r="AH18" s="593" t="str">
        <f>IF(ISNUMBER(AG18),1296*S18*S18/AG18/AG18,"")</f>
        <v/>
      </c>
      <c r="AI18" s="594" t="str">
        <f>IF(ISNUMBER(AH18),100*AH18/(#REF!),"")</f>
        <v/>
      </c>
      <c r="AJ18" s="592"/>
      <c r="AK18" s="585"/>
      <c r="AL18" s="585"/>
      <c r="AM18" s="595"/>
      <c r="AN18" s="596"/>
      <c r="AO18" s="592"/>
      <c r="AP18" s="315"/>
      <c r="AQ18" s="321"/>
      <c r="AR18" s="321"/>
      <c r="AS18" s="630"/>
      <c r="AT18" s="318"/>
      <c r="AU18" s="325"/>
      <c r="AV18" s="325"/>
      <c r="AW18" s="325"/>
      <c r="AX18" s="315"/>
      <c r="AY18" s="321"/>
      <c r="AZ18" s="315"/>
      <c r="BA18" s="315"/>
      <c r="BB18" s="321"/>
      <c r="BC18" s="159"/>
      <c r="BD18" s="326"/>
      <c r="BE18" s="315"/>
      <c r="BF18" s="319"/>
      <c r="BG18" s="320"/>
      <c r="BH18" s="321"/>
      <c r="BI18" s="323"/>
      <c r="BJ18" s="262"/>
      <c r="BK18" s="342"/>
      <c r="BL18" s="320"/>
      <c r="BM18" s="321"/>
      <c r="BN18" s="321"/>
      <c r="BO18" s="321"/>
      <c r="BP18" s="321"/>
      <c r="BQ18" s="327"/>
      <c r="BR18" s="318"/>
      <c r="BS18" s="328"/>
      <c r="BT18" s="329"/>
      <c r="BU18" s="631"/>
      <c r="BV18" s="318"/>
      <c r="BW18" s="315"/>
      <c r="BX18" s="315"/>
      <c r="BY18" s="315"/>
      <c r="BZ18" s="315"/>
      <c r="CA18" s="315"/>
      <c r="CB18" s="315"/>
      <c r="CC18" s="330"/>
      <c r="CD18" s="318"/>
      <c r="CE18" s="315"/>
      <c r="CF18" s="315"/>
      <c r="CG18" s="319"/>
      <c r="CH18" s="318"/>
      <c r="CI18" s="319"/>
      <c r="CJ18" s="326"/>
      <c r="CK18" s="315"/>
      <c r="CL18" s="315"/>
      <c r="CM18" s="319"/>
      <c r="CN18" s="326"/>
      <c r="CO18" s="315"/>
      <c r="CP18" s="315"/>
      <c r="CQ18" s="315"/>
      <c r="CR18" s="319"/>
      <c r="CS18" s="318"/>
      <c r="CT18" s="331"/>
      <c r="CU18" s="188"/>
      <c r="CV18" s="332"/>
      <c r="CW18" s="333"/>
      <c r="CX18" s="334"/>
      <c r="CY18" s="318"/>
      <c r="CZ18" s="643"/>
      <c r="DA18" s="335"/>
      <c r="DB18" s="189"/>
      <c r="DC18" s="336"/>
      <c r="DD18" s="323"/>
      <c r="DE18" s="319"/>
      <c r="DF18" s="318"/>
      <c r="DG18" s="643"/>
      <c r="DH18" s="315"/>
      <c r="DI18" s="647"/>
      <c r="DJ18" s="633"/>
      <c r="DK18" s="318"/>
      <c r="DL18" s="315"/>
      <c r="DM18" s="315"/>
      <c r="DN18" s="315"/>
      <c r="DO18" s="315"/>
      <c r="DP18" s="315"/>
      <c r="DQ18" s="330"/>
      <c r="DR18" s="318"/>
      <c r="DS18" s="319"/>
      <c r="DT18" s="318"/>
      <c r="DU18" s="315"/>
      <c r="DV18" s="635"/>
      <c r="DW18" s="318"/>
      <c r="DX18" s="315"/>
      <c r="DY18" s="319"/>
      <c r="DZ18" s="318"/>
      <c r="EA18" s="315"/>
      <c r="EB18" s="315"/>
      <c r="EC18" s="315"/>
      <c r="ED18" s="330"/>
      <c r="EE18" s="318"/>
      <c r="EF18" s="319"/>
      <c r="EG18" s="326"/>
      <c r="EH18" s="315"/>
      <c r="EI18" s="635"/>
      <c r="EJ18" s="318"/>
      <c r="EK18" s="315"/>
      <c r="EL18" s="635"/>
      <c r="EM18" s="189"/>
      <c r="EN18" s="636"/>
      <c r="EO18" s="637"/>
      <c r="EP18" s="638"/>
      <c r="EQ18" s="315"/>
      <c r="ER18" s="315"/>
      <c r="ES18" s="319"/>
      <c r="ET18" s="639">
        <f t="shared" si="1"/>
        <v>1</v>
      </c>
      <c r="EU18" s="640"/>
      <c r="EV18" s="640">
        <f t="shared" si="2"/>
        <v>0</v>
      </c>
      <c r="EW18" s="640"/>
      <c r="EX18" s="641">
        <f t="shared" si="3"/>
        <v>0</v>
      </c>
    </row>
    <row r="19" spans="1:154" s="363" customFormat="1" ht="20.100000000000001" customHeight="1" x14ac:dyDescent="0.2">
      <c r="A19" s="646" t="s">
        <v>342</v>
      </c>
      <c r="B19" s="578" t="s">
        <v>484</v>
      </c>
      <c r="C19" s="312"/>
      <c r="D19" s="313" t="s">
        <v>485</v>
      </c>
      <c r="E19" s="312"/>
      <c r="F19" s="580" t="s">
        <v>486</v>
      </c>
      <c r="G19" s="337"/>
      <c r="H19" s="582" t="s">
        <v>487</v>
      </c>
      <c r="I19" s="627"/>
      <c r="J19" s="314"/>
      <c r="K19" s="315"/>
      <c r="L19" s="628"/>
      <c r="M19" s="629"/>
      <c r="N19" s="316"/>
      <c r="O19" s="317"/>
      <c r="P19" s="318"/>
      <c r="Q19" s="301"/>
      <c r="R19" s="301"/>
      <c r="S19" s="315"/>
      <c r="T19" s="315"/>
      <c r="U19" s="315"/>
      <c r="V19" s="315"/>
      <c r="W19" s="315"/>
      <c r="X19" s="315"/>
      <c r="Y19" s="315"/>
      <c r="Z19" s="315"/>
      <c r="AA19" s="319"/>
      <c r="AB19" s="320"/>
      <c r="AC19" s="315"/>
      <c r="AD19" s="315"/>
      <c r="AE19" s="315"/>
      <c r="AF19" s="315"/>
      <c r="AG19" s="321"/>
      <c r="AH19" s="322" t="str">
        <f t="shared" ref="AH19" si="5">IF(ISNUMBER(AG19),1296*S19*S19/AG19/AG19,"")</f>
        <v/>
      </c>
      <c r="AI19" s="323" t="str">
        <f>IF(ISNUMBER(AH19),100*AH19/(#REF!),"")</f>
        <v/>
      </c>
      <c r="AJ19" s="321"/>
      <c r="AK19" s="315"/>
      <c r="AL19" s="315"/>
      <c r="AM19" s="324"/>
      <c r="AN19" s="325"/>
      <c r="AO19" s="321"/>
      <c r="AP19" s="315"/>
      <c r="AQ19" s="321"/>
      <c r="AR19" s="321"/>
      <c r="AS19" s="642"/>
      <c r="AT19" s="318"/>
      <c r="AU19" s="325"/>
      <c r="AV19" s="325"/>
      <c r="AW19" s="325"/>
      <c r="AX19" s="315"/>
      <c r="AY19" s="321"/>
      <c r="AZ19" s="315"/>
      <c r="BA19" s="315"/>
      <c r="BB19" s="321"/>
      <c r="BC19" s="159"/>
      <c r="BD19" s="326"/>
      <c r="BE19" s="315"/>
      <c r="BF19" s="319"/>
      <c r="BG19" s="320"/>
      <c r="BH19" s="321"/>
      <c r="BI19" s="323"/>
      <c r="BJ19" s="262"/>
      <c r="BK19" s="342"/>
      <c r="BL19" s="320"/>
      <c r="BM19" s="321"/>
      <c r="BN19" s="321"/>
      <c r="BO19" s="321"/>
      <c r="BP19" s="321"/>
      <c r="BQ19" s="327"/>
      <c r="BR19" s="318"/>
      <c r="BS19" s="328"/>
      <c r="BT19" s="329"/>
      <c r="BU19" s="631"/>
      <c r="BV19" s="318"/>
      <c r="BW19" s="315"/>
      <c r="BX19" s="315"/>
      <c r="BY19" s="315"/>
      <c r="BZ19" s="315"/>
      <c r="CA19" s="315"/>
      <c r="CB19" s="315"/>
      <c r="CC19" s="330"/>
      <c r="CD19" s="318"/>
      <c r="CE19" s="315"/>
      <c r="CF19" s="315"/>
      <c r="CG19" s="319"/>
      <c r="CH19" s="318"/>
      <c r="CI19" s="319"/>
      <c r="CJ19" s="326"/>
      <c r="CK19" s="315"/>
      <c r="CL19" s="315"/>
      <c r="CM19" s="319"/>
      <c r="CN19" s="326"/>
      <c r="CO19" s="315"/>
      <c r="CP19" s="315"/>
      <c r="CQ19" s="315"/>
      <c r="CR19" s="319"/>
      <c r="CS19" s="318"/>
      <c r="CT19" s="331"/>
      <c r="CU19" s="188"/>
      <c r="CV19" s="332"/>
      <c r="CW19" s="333"/>
      <c r="CX19" s="334"/>
      <c r="CY19" s="318"/>
      <c r="CZ19" s="643"/>
      <c r="DA19" s="335"/>
      <c r="DB19" s="189"/>
      <c r="DC19" s="336"/>
      <c r="DD19" s="323"/>
      <c r="DE19" s="319"/>
      <c r="DF19" s="318"/>
      <c r="DG19" s="643"/>
      <c r="DH19" s="315"/>
      <c r="DI19" s="632"/>
      <c r="DJ19" s="633"/>
      <c r="DK19" s="318"/>
      <c r="DL19" s="315"/>
      <c r="DM19" s="315"/>
      <c r="DN19" s="315"/>
      <c r="DO19" s="315"/>
      <c r="DP19" s="315"/>
      <c r="DQ19" s="330"/>
      <c r="DR19" s="318"/>
      <c r="DS19" s="319"/>
      <c r="DT19" s="318"/>
      <c r="DU19" s="315"/>
      <c r="DV19" s="635"/>
      <c r="DW19" s="318"/>
      <c r="DX19" s="315"/>
      <c r="DY19" s="319"/>
      <c r="DZ19" s="318"/>
      <c r="EA19" s="315"/>
      <c r="EB19" s="315"/>
      <c r="EC19" s="315"/>
      <c r="ED19" s="330"/>
      <c r="EE19" s="318"/>
      <c r="EF19" s="319"/>
      <c r="EG19" s="326"/>
      <c r="EH19" s="315"/>
      <c r="EI19" s="635"/>
      <c r="EJ19" s="318"/>
      <c r="EK19" s="315"/>
      <c r="EL19" s="635"/>
      <c r="EM19" s="189"/>
      <c r="EN19" s="636"/>
      <c r="EO19" s="637"/>
      <c r="EP19" s="638"/>
      <c r="EQ19" s="315"/>
      <c r="ER19" s="315"/>
      <c r="ES19" s="319"/>
      <c r="ET19" s="639">
        <f t="shared" si="1"/>
        <v>1</v>
      </c>
      <c r="EU19" s="640"/>
      <c r="EV19" s="640">
        <f t="shared" si="2"/>
        <v>0</v>
      </c>
      <c r="EW19" s="640"/>
      <c r="EX19" s="641">
        <f t="shared" si="3"/>
        <v>0</v>
      </c>
    </row>
    <row r="20" spans="1:154" s="363" customFormat="1" ht="20.100000000000001" customHeight="1" x14ac:dyDescent="0.2">
      <c r="A20" s="646" t="s">
        <v>343</v>
      </c>
      <c r="B20" s="578" t="s">
        <v>484</v>
      </c>
      <c r="C20" s="312"/>
      <c r="D20" s="313" t="s">
        <v>485</v>
      </c>
      <c r="E20" s="312"/>
      <c r="F20" s="580" t="s">
        <v>486</v>
      </c>
      <c r="G20" s="581"/>
      <c r="H20" s="582" t="s">
        <v>487</v>
      </c>
      <c r="I20" s="627"/>
      <c r="J20" s="314"/>
      <c r="K20" s="315"/>
      <c r="L20" s="628"/>
      <c r="M20" s="629"/>
      <c r="N20" s="316"/>
      <c r="O20" s="317"/>
      <c r="P20" s="318"/>
      <c r="Q20" s="301"/>
      <c r="R20" s="301"/>
      <c r="S20" s="315"/>
      <c r="T20" s="315"/>
      <c r="U20" s="315"/>
      <c r="V20" s="315"/>
      <c r="W20" s="315"/>
      <c r="X20" s="315"/>
      <c r="Y20" s="315"/>
      <c r="Z20" s="315"/>
      <c r="AA20" s="319"/>
      <c r="AB20" s="320"/>
      <c r="AC20" s="315"/>
      <c r="AD20" s="315"/>
      <c r="AE20" s="315"/>
      <c r="AF20" s="315"/>
      <c r="AG20" s="321"/>
      <c r="AH20" s="322" t="str">
        <f t="shared" ref="AH12:AH75" si="6">IF(ISNUMBER(AG20),1296*S20*S20/AG20/AG20,"")</f>
        <v/>
      </c>
      <c r="AI20" s="323" t="str">
        <f>IF(ISNUMBER(AH20),100*AH20/(#REF!),"")</f>
        <v/>
      </c>
      <c r="AJ20" s="321"/>
      <c r="AK20" s="315"/>
      <c r="AL20" s="315"/>
      <c r="AM20" s="324"/>
      <c r="AN20" s="325"/>
      <c r="AO20" s="321"/>
      <c r="AP20" s="315"/>
      <c r="AQ20" s="321"/>
      <c r="AR20" s="321"/>
      <c r="AS20" s="339"/>
      <c r="AT20" s="318"/>
      <c r="AU20" s="325"/>
      <c r="AV20" s="325"/>
      <c r="AW20" s="325"/>
      <c r="AX20" s="315"/>
      <c r="AY20" s="321"/>
      <c r="AZ20" s="315"/>
      <c r="BA20" s="315"/>
      <c r="BB20" s="321"/>
      <c r="BC20" s="159"/>
      <c r="BD20" s="326"/>
      <c r="BE20" s="315"/>
      <c r="BF20" s="319"/>
      <c r="BG20" s="320"/>
      <c r="BH20" s="321"/>
      <c r="BI20" s="323"/>
      <c r="BJ20" s="262"/>
      <c r="BK20" s="342"/>
      <c r="BL20" s="320"/>
      <c r="BM20" s="321"/>
      <c r="BN20" s="321"/>
      <c r="BO20" s="321"/>
      <c r="BP20" s="321"/>
      <c r="BQ20" s="327"/>
      <c r="BR20" s="318"/>
      <c r="BS20" s="328"/>
      <c r="BT20" s="329"/>
      <c r="BU20" s="631"/>
      <c r="BV20" s="318"/>
      <c r="BW20" s="315"/>
      <c r="BX20" s="315"/>
      <c r="BY20" s="315"/>
      <c r="BZ20" s="315"/>
      <c r="CA20" s="315"/>
      <c r="CB20" s="315"/>
      <c r="CC20" s="330"/>
      <c r="CD20" s="318"/>
      <c r="CE20" s="315"/>
      <c r="CF20" s="315"/>
      <c r="CG20" s="319"/>
      <c r="CH20" s="318"/>
      <c r="CI20" s="319"/>
      <c r="CJ20" s="326"/>
      <c r="CK20" s="315"/>
      <c r="CL20" s="315"/>
      <c r="CM20" s="319"/>
      <c r="CN20" s="326"/>
      <c r="CO20" s="315"/>
      <c r="CP20" s="315"/>
      <c r="CQ20" s="315"/>
      <c r="CR20" s="319"/>
      <c r="CS20" s="318"/>
      <c r="CT20" s="331"/>
      <c r="CU20" s="188"/>
      <c r="CV20" s="332"/>
      <c r="CW20" s="333"/>
      <c r="CX20" s="334"/>
      <c r="CY20" s="318"/>
      <c r="CZ20" s="643"/>
      <c r="DA20" s="335"/>
      <c r="DB20" s="189"/>
      <c r="DC20" s="336"/>
      <c r="DD20" s="323"/>
      <c r="DE20" s="319"/>
      <c r="DF20" s="318"/>
      <c r="DG20" s="643"/>
      <c r="DH20" s="315"/>
      <c r="DI20" s="632"/>
      <c r="DJ20" s="633"/>
      <c r="DK20" s="318"/>
      <c r="DL20" s="315"/>
      <c r="DM20" s="315"/>
      <c r="DN20" s="315"/>
      <c r="DO20" s="315"/>
      <c r="DP20" s="315"/>
      <c r="DQ20" s="330"/>
      <c r="DR20" s="318"/>
      <c r="DS20" s="319"/>
      <c r="DT20" s="318"/>
      <c r="DU20" s="315"/>
      <c r="DV20" s="635"/>
      <c r="DW20" s="318"/>
      <c r="DX20" s="315"/>
      <c r="DY20" s="319"/>
      <c r="DZ20" s="318"/>
      <c r="EA20" s="315"/>
      <c r="EB20" s="315"/>
      <c r="EC20" s="315"/>
      <c r="ED20" s="330"/>
      <c r="EE20" s="318"/>
      <c r="EF20" s="319"/>
      <c r="EG20" s="326"/>
      <c r="EH20" s="315"/>
      <c r="EI20" s="635"/>
      <c r="EJ20" s="318"/>
      <c r="EK20" s="315"/>
      <c r="EL20" s="635"/>
      <c r="EM20" s="189"/>
      <c r="EN20" s="636"/>
      <c r="EO20" s="637"/>
      <c r="EP20" s="638"/>
      <c r="EQ20" s="315"/>
      <c r="ER20" s="315"/>
      <c r="ES20" s="319"/>
      <c r="ET20" s="639">
        <f t="shared" si="1"/>
        <v>1</v>
      </c>
      <c r="EU20" s="640"/>
      <c r="EV20" s="640">
        <f t="shared" si="2"/>
        <v>0</v>
      </c>
      <c r="EW20" s="640"/>
      <c r="EX20" s="641">
        <f t="shared" si="3"/>
        <v>0</v>
      </c>
    </row>
    <row r="21" spans="1:154" s="363" customFormat="1" ht="20.100000000000001" customHeight="1" x14ac:dyDescent="0.2">
      <c r="A21" s="646" t="s">
        <v>344</v>
      </c>
      <c r="B21" s="578" t="s">
        <v>484</v>
      </c>
      <c r="C21" s="312"/>
      <c r="D21" s="313" t="s">
        <v>485</v>
      </c>
      <c r="E21" s="312"/>
      <c r="F21" s="580" t="s">
        <v>486</v>
      </c>
      <c r="G21" s="581"/>
      <c r="H21" s="582" t="s">
        <v>487</v>
      </c>
      <c r="I21" s="627"/>
      <c r="J21" s="314"/>
      <c r="K21" s="315"/>
      <c r="L21" s="628"/>
      <c r="M21" s="629"/>
      <c r="N21" s="316"/>
      <c r="O21" s="317"/>
      <c r="P21" s="318"/>
      <c r="Q21" s="301"/>
      <c r="R21" s="301"/>
      <c r="S21" s="315"/>
      <c r="T21" s="315"/>
      <c r="U21" s="315"/>
      <c r="V21" s="315"/>
      <c r="W21" s="315"/>
      <c r="X21" s="315"/>
      <c r="Y21" s="315"/>
      <c r="Z21" s="315"/>
      <c r="AA21" s="319"/>
      <c r="AB21" s="320"/>
      <c r="AC21" s="315"/>
      <c r="AD21" s="315"/>
      <c r="AE21" s="315"/>
      <c r="AF21" s="315"/>
      <c r="AG21" s="321"/>
      <c r="AH21" s="322" t="str">
        <f t="shared" si="6"/>
        <v/>
      </c>
      <c r="AI21" s="323" t="str">
        <f>IF(ISNUMBER(AH21),100*AH21/(#REF!),"")</f>
        <v/>
      </c>
      <c r="AJ21" s="321"/>
      <c r="AK21" s="315"/>
      <c r="AL21" s="315"/>
      <c r="AM21" s="324"/>
      <c r="AN21" s="325"/>
      <c r="AO21" s="321"/>
      <c r="AP21" s="315"/>
      <c r="AQ21" s="321"/>
      <c r="AR21" s="321"/>
      <c r="AS21" s="339"/>
      <c r="AT21" s="318"/>
      <c r="AU21" s="325"/>
      <c r="AV21" s="325"/>
      <c r="AW21" s="325"/>
      <c r="AX21" s="315"/>
      <c r="AY21" s="321"/>
      <c r="AZ21" s="315"/>
      <c r="BA21" s="315"/>
      <c r="BB21" s="321"/>
      <c r="BC21" s="159"/>
      <c r="BD21" s="326"/>
      <c r="BE21" s="315"/>
      <c r="BF21" s="319"/>
      <c r="BG21" s="320"/>
      <c r="BH21" s="321"/>
      <c r="BI21" s="323"/>
      <c r="BJ21" s="262"/>
      <c r="BK21" s="342"/>
      <c r="BL21" s="320"/>
      <c r="BM21" s="321"/>
      <c r="BN21" s="321"/>
      <c r="BO21" s="321"/>
      <c r="BP21" s="321"/>
      <c r="BQ21" s="327"/>
      <c r="BR21" s="318"/>
      <c r="BS21" s="328"/>
      <c r="BT21" s="329"/>
      <c r="BU21" s="631"/>
      <c r="BV21" s="318"/>
      <c r="BW21" s="315"/>
      <c r="BX21" s="315"/>
      <c r="BY21" s="315"/>
      <c r="BZ21" s="315"/>
      <c r="CA21" s="315"/>
      <c r="CB21" s="315"/>
      <c r="CC21" s="330"/>
      <c r="CD21" s="318"/>
      <c r="CE21" s="315"/>
      <c r="CF21" s="315"/>
      <c r="CG21" s="319"/>
      <c r="CH21" s="318"/>
      <c r="CI21" s="319"/>
      <c r="CJ21" s="326"/>
      <c r="CK21" s="315"/>
      <c r="CL21" s="315"/>
      <c r="CM21" s="319"/>
      <c r="CN21" s="326"/>
      <c r="CO21" s="315"/>
      <c r="CP21" s="315"/>
      <c r="CQ21" s="315"/>
      <c r="CR21" s="319"/>
      <c r="CS21" s="318"/>
      <c r="CT21" s="331"/>
      <c r="CU21" s="188"/>
      <c r="CV21" s="332"/>
      <c r="CW21" s="333"/>
      <c r="CX21" s="334"/>
      <c r="CY21" s="318"/>
      <c r="CZ21" s="643"/>
      <c r="DA21" s="335"/>
      <c r="DB21" s="189"/>
      <c r="DC21" s="336"/>
      <c r="DD21" s="323"/>
      <c r="DE21" s="319"/>
      <c r="DF21" s="318"/>
      <c r="DG21" s="643"/>
      <c r="DH21" s="315"/>
      <c r="DI21" s="632"/>
      <c r="DJ21" s="633"/>
      <c r="DK21" s="318"/>
      <c r="DL21" s="315"/>
      <c r="DM21" s="315"/>
      <c r="DN21" s="315"/>
      <c r="DO21" s="315"/>
      <c r="DP21" s="315"/>
      <c r="DQ21" s="330"/>
      <c r="DR21" s="318"/>
      <c r="DS21" s="319"/>
      <c r="DT21" s="318"/>
      <c r="DU21" s="315"/>
      <c r="DV21" s="635"/>
      <c r="DW21" s="318"/>
      <c r="DX21" s="315"/>
      <c r="DY21" s="319"/>
      <c r="DZ21" s="318"/>
      <c r="EA21" s="315"/>
      <c r="EB21" s="315"/>
      <c r="EC21" s="315"/>
      <c r="ED21" s="330"/>
      <c r="EE21" s="318"/>
      <c r="EF21" s="319"/>
      <c r="EG21" s="326"/>
      <c r="EH21" s="315"/>
      <c r="EI21" s="635"/>
      <c r="EJ21" s="318"/>
      <c r="EK21" s="315"/>
      <c r="EL21" s="635"/>
      <c r="EM21" s="189"/>
      <c r="EN21" s="636"/>
      <c r="EO21" s="637"/>
      <c r="EP21" s="638"/>
      <c r="EQ21" s="315"/>
      <c r="ER21" s="315"/>
      <c r="ES21" s="319"/>
      <c r="ET21" s="639">
        <f t="shared" si="1"/>
        <v>1</v>
      </c>
      <c r="EU21" s="640"/>
      <c r="EV21" s="640">
        <f t="shared" si="2"/>
        <v>0</v>
      </c>
      <c r="EW21" s="640"/>
      <c r="EX21" s="641">
        <f t="shared" si="3"/>
        <v>0</v>
      </c>
    </row>
    <row r="22" spans="1:154" s="363" customFormat="1" ht="20.100000000000001" customHeight="1" x14ac:dyDescent="0.2">
      <c r="A22" s="646" t="s">
        <v>345</v>
      </c>
      <c r="B22" s="578" t="s">
        <v>484</v>
      </c>
      <c r="C22" s="312"/>
      <c r="D22" s="313" t="s">
        <v>485</v>
      </c>
      <c r="E22" s="312"/>
      <c r="F22" s="580" t="s">
        <v>486</v>
      </c>
      <c r="G22" s="581"/>
      <c r="H22" s="582" t="s">
        <v>487</v>
      </c>
      <c r="I22" s="627"/>
      <c r="J22" s="314"/>
      <c r="K22" s="315"/>
      <c r="L22" s="628"/>
      <c r="M22" s="629"/>
      <c r="N22" s="316"/>
      <c r="O22" s="317"/>
      <c r="P22" s="318"/>
      <c r="Q22" s="301"/>
      <c r="R22" s="301"/>
      <c r="S22" s="315"/>
      <c r="T22" s="315"/>
      <c r="U22" s="315"/>
      <c r="V22" s="315"/>
      <c r="W22" s="315"/>
      <c r="X22" s="315"/>
      <c r="Y22" s="315"/>
      <c r="Z22" s="315"/>
      <c r="AA22" s="319"/>
      <c r="AB22" s="320"/>
      <c r="AC22" s="315"/>
      <c r="AD22" s="315"/>
      <c r="AE22" s="315"/>
      <c r="AF22" s="315"/>
      <c r="AG22" s="321"/>
      <c r="AH22" s="322" t="str">
        <f t="shared" si="6"/>
        <v/>
      </c>
      <c r="AI22" s="323" t="str">
        <f>IF(ISNUMBER(AH22),100*AH22/(#REF!),"")</f>
        <v/>
      </c>
      <c r="AJ22" s="321"/>
      <c r="AK22" s="315"/>
      <c r="AL22" s="315"/>
      <c r="AM22" s="324"/>
      <c r="AN22" s="325"/>
      <c r="AO22" s="321"/>
      <c r="AP22" s="315"/>
      <c r="AQ22" s="321"/>
      <c r="AR22" s="321"/>
      <c r="AS22" s="339"/>
      <c r="AT22" s="318"/>
      <c r="AU22" s="325"/>
      <c r="AV22" s="325"/>
      <c r="AW22" s="325"/>
      <c r="AX22" s="315"/>
      <c r="AY22" s="321"/>
      <c r="AZ22" s="315"/>
      <c r="BA22" s="315"/>
      <c r="BB22" s="321"/>
      <c r="BC22" s="159"/>
      <c r="BD22" s="326"/>
      <c r="BE22" s="315"/>
      <c r="BF22" s="319"/>
      <c r="BG22" s="320"/>
      <c r="BH22" s="321"/>
      <c r="BI22" s="323"/>
      <c r="BJ22" s="262"/>
      <c r="BK22" s="342"/>
      <c r="BL22" s="320"/>
      <c r="BM22" s="321"/>
      <c r="BN22" s="321"/>
      <c r="BO22" s="321"/>
      <c r="BP22" s="321"/>
      <c r="BQ22" s="327"/>
      <c r="BR22" s="318"/>
      <c r="BS22" s="328"/>
      <c r="BT22" s="329"/>
      <c r="BU22" s="631"/>
      <c r="BV22" s="318"/>
      <c r="BW22" s="315"/>
      <c r="BX22" s="315"/>
      <c r="BY22" s="315"/>
      <c r="BZ22" s="315"/>
      <c r="CA22" s="315"/>
      <c r="CB22" s="315"/>
      <c r="CC22" s="330"/>
      <c r="CD22" s="318"/>
      <c r="CE22" s="315"/>
      <c r="CF22" s="315"/>
      <c r="CG22" s="319"/>
      <c r="CH22" s="318"/>
      <c r="CI22" s="319"/>
      <c r="CJ22" s="326"/>
      <c r="CK22" s="315"/>
      <c r="CL22" s="315"/>
      <c r="CM22" s="319"/>
      <c r="CN22" s="326"/>
      <c r="CO22" s="315"/>
      <c r="CP22" s="315"/>
      <c r="CQ22" s="315"/>
      <c r="CR22" s="319"/>
      <c r="CS22" s="318"/>
      <c r="CT22" s="331"/>
      <c r="CU22" s="188"/>
      <c r="CV22" s="332"/>
      <c r="CW22" s="333"/>
      <c r="CX22" s="334"/>
      <c r="CY22" s="318"/>
      <c r="CZ22" s="643"/>
      <c r="DA22" s="335"/>
      <c r="DB22" s="189"/>
      <c r="DC22" s="336"/>
      <c r="DD22" s="323"/>
      <c r="DE22" s="319"/>
      <c r="DF22" s="318"/>
      <c r="DG22" s="643"/>
      <c r="DH22" s="315"/>
      <c r="DI22" s="632"/>
      <c r="DJ22" s="633"/>
      <c r="DK22" s="318"/>
      <c r="DL22" s="315"/>
      <c r="DM22" s="315"/>
      <c r="DN22" s="315"/>
      <c r="DO22" s="315"/>
      <c r="DP22" s="315"/>
      <c r="DQ22" s="330"/>
      <c r="DR22" s="318"/>
      <c r="DS22" s="319"/>
      <c r="DT22" s="318"/>
      <c r="DU22" s="315"/>
      <c r="DV22" s="635"/>
      <c r="DW22" s="318"/>
      <c r="DX22" s="315"/>
      <c r="DY22" s="319"/>
      <c r="DZ22" s="318"/>
      <c r="EA22" s="315"/>
      <c r="EB22" s="315"/>
      <c r="EC22" s="315"/>
      <c r="ED22" s="330"/>
      <c r="EE22" s="318"/>
      <c r="EF22" s="319"/>
      <c r="EG22" s="326"/>
      <c r="EH22" s="315"/>
      <c r="EI22" s="635"/>
      <c r="EJ22" s="318"/>
      <c r="EK22" s="315"/>
      <c r="EL22" s="635"/>
      <c r="EM22" s="189"/>
      <c r="EN22" s="636"/>
      <c r="EO22" s="637"/>
      <c r="EP22" s="638"/>
      <c r="EQ22" s="315"/>
      <c r="ER22" s="315"/>
      <c r="ES22" s="319"/>
      <c r="ET22" s="639">
        <f t="shared" si="1"/>
        <v>1</v>
      </c>
      <c r="EU22" s="640"/>
      <c r="EV22" s="640">
        <f t="shared" si="2"/>
        <v>0</v>
      </c>
      <c r="EW22" s="640"/>
      <c r="EX22" s="641">
        <f t="shared" si="3"/>
        <v>0</v>
      </c>
    </row>
    <row r="23" spans="1:154" s="363" customFormat="1" ht="20.100000000000001" customHeight="1" x14ac:dyDescent="0.2">
      <c r="A23" s="646" t="s">
        <v>346</v>
      </c>
      <c r="B23" s="578" t="s">
        <v>484</v>
      </c>
      <c r="C23" s="312"/>
      <c r="D23" s="313" t="s">
        <v>485</v>
      </c>
      <c r="E23" s="312"/>
      <c r="F23" s="580" t="s">
        <v>486</v>
      </c>
      <c r="G23" s="581"/>
      <c r="H23" s="582" t="s">
        <v>487</v>
      </c>
      <c r="I23" s="627"/>
      <c r="J23" s="314"/>
      <c r="K23" s="315"/>
      <c r="L23" s="628"/>
      <c r="M23" s="629"/>
      <c r="N23" s="316"/>
      <c r="O23" s="317"/>
      <c r="P23" s="318"/>
      <c r="Q23" s="301"/>
      <c r="R23" s="301"/>
      <c r="S23" s="315"/>
      <c r="T23" s="315"/>
      <c r="U23" s="315"/>
      <c r="V23" s="315"/>
      <c r="W23" s="315"/>
      <c r="X23" s="315"/>
      <c r="Y23" s="315"/>
      <c r="Z23" s="315"/>
      <c r="AA23" s="319"/>
      <c r="AB23" s="320"/>
      <c r="AC23" s="315"/>
      <c r="AD23" s="315"/>
      <c r="AE23" s="315"/>
      <c r="AF23" s="315"/>
      <c r="AG23" s="321"/>
      <c r="AH23" s="322" t="str">
        <f t="shared" si="6"/>
        <v/>
      </c>
      <c r="AI23" s="323" t="str">
        <f>IF(ISNUMBER(AH23),100*AH23/(#REF!),"")</f>
        <v/>
      </c>
      <c r="AJ23" s="321"/>
      <c r="AK23" s="315"/>
      <c r="AL23" s="315"/>
      <c r="AM23" s="324"/>
      <c r="AN23" s="325"/>
      <c r="AO23" s="321"/>
      <c r="AP23" s="315"/>
      <c r="AQ23" s="321"/>
      <c r="AR23" s="321"/>
      <c r="AS23" s="339"/>
      <c r="AT23" s="318"/>
      <c r="AU23" s="325"/>
      <c r="AV23" s="325"/>
      <c r="AW23" s="325"/>
      <c r="AX23" s="315"/>
      <c r="AY23" s="321"/>
      <c r="AZ23" s="315"/>
      <c r="BA23" s="315"/>
      <c r="BB23" s="321"/>
      <c r="BC23" s="159"/>
      <c r="BD23" s="326"/>
      <c r="BE23" s="315"/>
      <c r="BF23" s="319"/>
      <c r="BG23" s="320"/>
      <c r="BH23" s="321"/>
      <c r="BI23" s="323"/>
      <c r="BJ23" s="262"/>
      <c r="BK23" s="342"/>
      <c r="BL23" s="320"/>
      <c r="BM23" s="321"/>
      <c r="BN23" s="321"/>
      <c r="BO23" s="321"/>
      <c r="BP23" s="321"/>
      <c r="BQ23" s="327"/>
      <c r="BR23" s="318"/>
      <c r="BS23" s="328"/>
      <c r="BT23" s="329"/>
      <c r="BU23" s="631"/>
      <c r="BV23" s="318"/>
      <c r="BW23" s="315"/>
      <c r="BX23" s="315"/>
      <c r="BY23" s="315"/>
      <c r="BZ23" s="315"/>
      <c r="CA23" s="315"/>
      <c r="CB23" s="315"/>
      <c r="CC23" s="330"/>
      <c r="CD23" s="318"/>
      <c r="CE23" s="315"/>
      <c r="CF23" s="315"/>
      <c r="CG23" s="319"/>
      <c r="CH23" s="318"/>
      <c r="CI23" s="319"/>
      <c r="CJ23" s="326"/>
      <c r="CK23" s="315"/>
      <c r="CL23" s="315"/>
      <c r="CM23" s="319"/>
      <c r="CN23" s="326"/>
      <c r="CO23" s="315"/>
      <c r="CP23" s="315"/>
      <c r="CQ23" s="315"/>
      <c r="CR23" s="319"/>
      <c r="CS23" s="318"/>
      <c r="CT23" s="331"/>
      <c r="CU23" s="188"/>
      <c r="CV23" s="332"/>
      <c r="CW23" s="333"/>
      <c r="CX23" s="334"/>
      <c r="CY23" s="318"/>
      <c r="CZ23" s="643"/>
      <c r="DA23" s="335"/>
      <c r="DB23" s="189"/>
      <c r="DC23" s="336"/>
      <c r="DD23" s="323"/>
      <c r="DE23" s="319"/>
      <c r="DF23" s="318"/>
      <c r="DG23" s="643"/>
      <c r="DH23" s="315"/>
      <c r="DI23" s="632"/>
      <c r="DJ23" s="633"/>
      <c r="DK23" s="318"/>
      <c r="DL23" s="315"/>
      <c r="DM23" s="315"/>
      <c r="DN23" s="315"/>
      <c r="DO23" s="315"/>
      <c r="DP23" s="315"/>
      <c r="DQ23" s="330"/>
      <c r="DR23" s="318"/>
      <c r="DS23" s="319"/>
      <c r="DT23" s="318"/>
      <c r="DU23" s="315"/>
      <c r="DV23" s="635"/>
      <c r="DW23" s="318"/>
      <c r="DX23" s="315"/>
      <c r="DY23" s="319"/>
      <c r="DZ23" s="318"/>
      <c r="EA23" s="315"/>
      <c r="EB23" s="315"/>
      <c r="EC23" s="315"/>
      <c r="ED23" s="330"/>
      <c r="EE23" s="318"/>
      <c r="EF23" s="319"/>
      <c r="EG23" s="326"/>
      <c r="EH23" s="315"/>
      <c r="EI23" s="635"/>
      <c r="EJ23" s="318"/>
      <c r="EK23" s="315"/>
      <c r="EL23" s="635"/>
      <c r="EM23" s="189"/>
      <c r="EN23" s="636"/>
      <c r="EO23" s="637"/>
      <c r="EP23" s="638"/>
      <c r="EQ23" s="315"/>
      <c r="ER23" s="315"/>
      <c r="ES23" s="319"/>
      <c r="ET23" s="639">
        <f t="shared" si="1"/>
        <v>1</v>
      </c>
      <c r="EU23" s="640"/>
      <c r="EV23" s="640">
        <f t="shared" si="2"/>
        <v>0</v>
      </c>
      <c r="EW23" s="640"/>
      <c r="EX23" s="641">
        <f t="shared" si="3"/>
        <v>0</v>
      </c>
    </row>
    <row r="24" spans="1:154" s="363" customFormat="1" ht="20.100000000000001" customHeight="1" x14ac:dyDescent="0.2">
      <c r="A24" s="646" t="s">
        <v>347</v>
      </c>
      <c r="B24" s="578" t="s">
        <v>484</v>
      </c>
      <c r="C24" s="312"/>
      <c r="D24" s="313" t="s">
        <v>485</v>
      </c>
      <c r="E24" s="312"/>
      <c r="F24" s="580" t="s">
        <v>486</v>
      </c>
      <c r="G24" s="581"/>
      <c r="H24" s="582" t="s">
        <v>487</v>
      </c>
      <c r="I24" s="627"/>
      <c r="J24" s="314"/>
      <c r="K24" s="315"/>
      <c r="L24" s="628"/>
      <c r="M24" s="629"/>
      <c r="N24" s="648"/>
      <c r="O24" s="317"/>
      <c r="P24" s="318"/>
      <c r="Q24" s="301"/>
      <c r="R24" s="301"/>
      <c r="S24" s="315"/>
      <c r="T24" s="315"/>
      <c r="U24" s="315"/>
      <c r="V24" s="315"/>
      <c r="W24" s="315"/>
      <c r="X24" s="315"/>
      <c r="Y24" s="315"/>
      <c r="Z24" s="315"/>
      <c r="AA24" s="319"/>
      <c r="AB24" s="320"/>
      <c r="AC24" s="315"/>
      <c r="AD24" s="315"/>
      <c r="AE24" s="315"/>
      <c r="AF24" s="315"/>
      <c r="AG24" s="321"/>
      <c r="AH24" s="322" t="str">
        <f t="shared" si="6"/>
        <v/>
      </c>
      <c r="AI24" s="323" t="str">
        <f>IF(ISNUMBER(AH24),100*AH24/(#REF!),"")</f>
        <v/>
      </c>
      <c r="AJ24" s="321"/>
      <c r="AK24" s="315"/>
      <c r="AL24" s="315"/>
      <c r="AM24" s="324"/>
      <c r="AN24" s="325"/>
      <c r="AO24" s="321"/>
      <c r="AP24" s="315"/>
      <c r="AQ24" s="321"/>
      <c r="AR24" s="321"/>
      <c r="AS24" s="649"/>
      <c r="AT24" s="318"/>
      <c r="AU24" s="325"/>
      <c r="AV24" s="325"/>
      <c r="AW24" s="325"/>
      <c r="AX24" s="315"/>
      <c r="AY24" s="321"/>
      <c r="AZ24" s="315"/>
      <c r="BA24" s="315"/>
      <c r="BB24" s="321"/>
      <c r="BC24" s="159"/>
      <c r="BD24" s="326"/>
      <c r="BE24" s="315"/>
      <c r="BF24" s="319"/>
      <c r="BG24" s="320"/>
      <c r="BH24" s="321"/>
      <c r="BI24" s="323"/>
      <c r="BJ24" s="262"/>
      <c r="BK24" s="342"/>
      <c r="BL24" s="320"/>
      <c r="BM24" s="321"/>
      <c r="BN24" s="321"/>
      <c r="BO24" s="321"/>
      <c r="BP24" s="321"/>
      <c r="BQ24" s="327"/>
      <c r="BR24" s="318"/>
      <c r="BS24" s="328"/>
      <c r="BT24" s="329"/>
      <c r="BU24" s="631"/>
      <c r="BV24" s="318"/>
      <c r="BW24" s="315"/>
      <c r="BX24" s="315"/>
      <c r="BY24" s="315"/>
      <c r="BZ24" s="315"/>
      <c r="CA24" s="315"/>
      <c r="CB24" s="315"/>
      <c r="CC24" s="330"/>
      <c r="CD24" s="318"/>
      <c r="CE24" s="315"/>
      <c r="CF24" s="315"/>
      <c r="CG24" s="319"/>
      <c r="CH24" s="318"/>
      <c r="CI24" s="319"/>
      <c r="CJ24" s="326"/>
      <c r="CK24" s="315"/>
      <c r="CL24" s="315"/>
      <c r="CM24" s="319"/>
      <c r="CN24" s="326"/>
      <c r="CO24" s="315"/>
      <c r="CP24" s="315"/>
      <c r="CQ24" s="315"/>
      <c r="CR24" s="319"/>
      <c r="CS24" s="318"/>
      <c r="CT24" s="331"/>
      <c r="CU24" s="188"/>
      <c r="CV24" s="332"/>
      <c r="CW24" s="333"/>
      <c r="CX24" s="334"/>
      <c r="CY24" s="318"/>
      <c r="CZ24" s="643"/>
      <c r="DA24" s="335"/>
      <c r="DB24" s="189"/>
      <c r="DC24" s="336"/>
      <c r="DD24" s="323"/>
      <c r="DE24" s="319"/>
      <c r="DF24" s="318"/>
      <c r="DG24" s="643"/>
      <c r="DH24" s="315"/>
      <c r="DI24" s="632"/>
      <c r="DJ24" s="633"/>
      <c r="DK24" s="318"/>
      <c r="DL24" s="315"/>
      <c r="DM24" s="315"/>
      <c r="DN24" s="315"/>
      <c r="DO24" s="315"/>
      <c r="DP24" s="315"/>
      <c r="DQ24" s="330"/>
      <c r="DR24" s="318"/>
      <c r="DS24" s="319"/>
      <c r="DT24" s="318"/>
      <c r="DU24" s="315"/>
      <c r="DV24" s="635"/>
      <c r="DW24" s="318"/>
      <c r="DX24" s="315"/>
      <c r="DY24" s="319"/>
      <c r="DZ24" s="318"/>
      <c r="EA24" s="315"/>
      <c r="EB24" s="315"/>
      <c r="EC24" s="315"/>
      <c r="ED24" s="330"/>
      <c r="EE24" s="318"/>
      <c r="EF24" s="319"/>
      <c r="EG24" s="326"/>
      <c r="EH24" s="315"/>
      <c r="EI24" s="635"/>
      <c r="EJ24" s="318"/>
      <c r="EK24" s="315"/>
      <c r="EL24" s="635"/>
      <c r="EM24" s="189"/>
      <c r="EN24" s="636"/>
      <c r="EO24" s="637"/>
      <c r="EP24" s="638"/>
      <c r="EQ24" s="315"/>
      <c r="ER24" s="315"/>
      <c r="ES24" s="319"/>
      <c r="ET24" s="639">
        <f t="shared" si="1"/>
        <v>1</v>
      </c>
      <c r="EU24" s="640"/>
      <c r="EV24" s="640">
        <f t="shared" si="2"/>
        <v>0</v>
      </c>
      <c r="EW24" s="640"/>
      <c r="EX24" s="641">
        <f t="shared" si="3"/>
        <v>0</v>
      </c>
    </row>
    <row r="25" spans="1:154" s="363" customFormat="1" ht="20.100000000000001" customHeight="1" x14ac:dyDescent="0.2">
      <c r="A25" s="646" t="s">
        <v>348</v>
      </c>
      <c r="B25" s="578" t="s">
        <v>484</v>
      </c>
      <c r="C25" s="312"/>
      <c r="D25" s="313" t="s">
        <v>485</v>
      </c>
      <c r="E25" s="312"/>
      <c r="F25" s="580" t="s">
        <v>486</v>
      </c>
      <c r="G25" s="581"/>
      <c r="H25" s="582" t="s">
        <v>487</v>
      </c>
      <c r="I25" s="627"/>
      <c r="J25" s="314"/>
      <c r="K25" s="315"/>
      <c r="L25" s="628"/>
      <c r="M25" s="629"/>
      <c r="N25" s="316"/>
      <c r="O25" s="317"/>
      <c r="P25" s="318"/>
      <c r="Q25" s="301"/>
      <c r="R25" s="301"/>
      <c r="S25" s="315"/>
      <c r="T25" s="315"/>
      <c r="U25" s="315"/>
      <c r="V25" s="315"/>
      <c r="W25" s="315"/>
      <c r="X25" s="315"/>
      <c r="Y25" s="315"/>
      <c r="Z25" s="315"/>
      <c r="AA25" s="319"/>
      <c r="AB25" s="320"/>
      <c r="AC25" s="315"/>
      <c r="AD25" s="315"/>
      <c r="AE25" s="315"/>
      <c r="AF25" s="315"/>
      <c r="AG25" s="321"/>
      <c r="AH25" s="322" t="str">
        <f t="shared" si="6"/>
        <v/>
      </c>
      <c r="AI25" s="323" t="str">
        <f>IF(ISNUMBER(AH25),100*AH25/(#REF!),"")</f>
        <v/>
      </c>
      <c r="AJ25" s="321"/>
      <c r="AK25" s="315"/>
      <c r="AL25" s="315"/>
      <c r="AM25" s="324"/>
      <c r="AN25" s="325"/>
      <c r="AO25" s="321"/>
      <c r="AP25" s="315"/>
      <c r="AQ25" s="321"/>
      <c r="AR25" s="321"/>
      <c r="AS25" s="339"/>
      <c r="AT25" s="318"/>
      <c r="AU25" s="325"/>
      <c r="AV25" s="325"/>
      <c r="AW25" s="325"/>
      <c r="AX25" s="315"/>
      <c r="AY25" s="321"/>
      <c r="AZ25" s="315"/>
      <c r="BA25" s="315"/>
      <c r="BB25" s="321"/>
      <c r="BC25" s="159"/>
      <c r="BD25" s="326"/>
      <c r="BE25" s="315"/>
      <c r="BF25" s="319"/>
      <c r="BG25" s="320"/>
      <c r="BH25" s="321"/>
      <c r="BI25" s="323"/>
      <c r="BJ25" s="262"/>
      <c r="BK25" s="342"/>
      <c r="BL25" s="320"/>
      <c r="BM25" s="321"/>
      <c r="BN25" s="321"/>
      <c r="BO25" s="321"/>
      <c r="BP25" s="321"/>
      <c r="BQ25" s="327"/>
      <c r="BR25" s="318"/>
      <c r="BS25" s="328"/>
      <c r="BT25" s="329"/>
      <c r="BU25" s="631"/>
      <c r="BV25" s="318"/>
      <c r="BW25" s="315"/>
      <c r="BX25" s="315"/>
      <c r="BY25" s="315"/>
      <c r="BZ25" s="315"/>
      <c r="CA25" s="315"/>
      <c r="CB25" s="315"/>
      <c r="CC25" s="330"/>
      <c r="CD25" s="318"/>
      <c r="CE25" s="315"/>
      <c r="CF25" s="315"/>
      <c r="CG25" s="319"/>
      <c r="CH25" s="318"/>
      <c r="CI25" s="319"/>
      <c r="CJ25" s="326"/>
      <c r="CK25" s="315"/>
      <c r="CL25" s="315"/>
      <c r="CM25" s="319"/>
      <c r="CN25" s="326"/>
      <c r="CO25" s="315"/>
      <c r="CP25" s="315"/>
      <c r="CQ25" s="315"/>
      <c r="CR25" s="319"/>
      <c r="CS25" s="318"/>
      <c r="CT25" s="331"/>
      <c r="CU25" s="188"/>
      <c r="CV25" s="332"/>
      <c r="CW25" s="333"/>
      <c r="CX25" s="334"/>
      <c r="CY25" s="318"/>
      <c r="CZ25" s="643"/>
      <c r="DA25" s="335"/>
      <c r="DB25" s="189"/>
      <c r="DC25" s="336"/>
      <c r="DD25" s="323"/>
      <c r="DE25" s="319"/>
      <c r="DF25" s="318"/>
      <c r="DG25" s="643"/>
      <c r="DH25" s="315"/>
      <c r="DI25" s="632"/>
      <c r="DJ25" s="633"/>
      <c r="DK25" s="634"/>
      <c r="DL25" s="315"/>
      <c r="DM25" s="315"/>
      <c r="DN25" s="315"/>
      <c r="DO25" s="315"/>
      <c r="DP25" s="315"/>
      <c r="DQ25" s="330"/>
      <c r="DR25" s="318"/>
      <c r="DS25" s="319"/>
      <c r="DT25" s="318"/>
      <c r="DU25" s="315"/>
      <c r="DV25" s="635"/>
      <c r="DW25" s="318"/>
      <c r="DX25" s="315"/>
      <c r="DY25" s="319"/>
      <c r="DZ25" s="318"/>
      <c r="EA25" s="315"/>
      <c r="EB25" s="315"/>
      <c r="EC25" s="315"/>
      <c r="ED25" s="330"/>
      <c r="EE25" s="318"/>
      <c r="EF25" s="319"/>
      <c r="EG25" s="326"/>
      <c r="EH25" s="315"/>
      <c r="EI25" s="635"/>
      <c r="EJ25" s="318"/>
      <c r="EK25" s="315"/>
      <c r="EL25" s="635"/>
      <c r="EM25" s="189"/>
      <c r="EN25" s="636"/>
      <c r="EO25" s="637"/>
      <c r="EP25" s="638"/>
      <c r="EQ25" s="315"/>
      <c r="ER25" s="315"/>
      <c r="ES25" s="319"/>
      <c r="ET25" s="639">
        <f t="shared" si="1"/>
        <v>1</v>
      </c>
      <c r="EU25" s="640"/>
      <c r="EV25" s="640">
        <f t="shared" si="2"/>
        <v>0</v>
      </c>
      <c r="EW25" s="640"/>
      <c r="EX25" s="641">
        <f t="shared" si="3"/>
        <v>0</v>
      </c>
    </row>
    <row r="26" spans="1:154" s="363" customFormat="1" ht="20.100000000000001" customHeight="1" x14ac:dyDescent="0.2">
      <c r="A26" s="646" t="s">
        <v>349</v>
      </c>
      <c r="B26" s="578" t="s">
        <v>484</v>
      </c>
      <c r="C26" s="312"/>
      <c r="D26" s="313" t="s">
        <v>485</v>
      </c>
      <c r="E26" s="312"/>
      <c r="F26" s="580" t="s">
        <v>486</v>
      </c>
      <c r="G26" s="581"/>
      <c r="H26" s="582" t="s">
        <v>487</v>
      </c>
      <c r="I26" s="627"/>
      <c r="J26" s="314"/>
      <c r="K26" s="315"/>
      <c r="L26" s="628"/>
      <c r="M26" s="629"/>
      <c r="N26" s="648"/>
      <c r="O26" s="317"/>
      <c r="P26" s="318"/>
      <c r="Q26" s="301"/>
      <c r="R26" s="301"/>
      <c r="S26" s="315"/>
      <c r="T26" s="315"/>
      <c r="U26" s="315"/>
      <c r="V26" s="315"/>
      <c r="W26" s="315"/>
      <c r="X26" s="315"/>
      <c r="Y26" s="315"/>
      <c r="Z26" s="315"/>
      <c r="AA26" s="319"/>
      <c r="AB26" s="320"/>
      <c r="AC26" s="315"/>
      <c r="AD26" s="315"/>
      <c r="AE26" s="315"/>
      <c r="AF26" s="315"/>
      <c r="AG26" s="321"/>
      <c r="AH26" s="322" t="str">
        <f t="shared" si="6"/>
        <v/>
      </c>
      <c r="AI26" s="323" t="str">
        <f>IF(ISNUMBER(AH26),100*AH26/(#REF!),"")</f>
        <v/>
      </c>
      <c r="AJ26" s="321"/>
      <c r="AK26" s="315"/>
      <c r="AL26" s="315"/>
      <c r="AM26" s="324"/>
      <c r="AN26" s="325"/>
      <c r="AO26" s="321"/>
      <c r="AP26" s="315"/>
      <c r="AQ26" s="321"/>
      <c r="AR26" s="321"/>
      <c r="AS26" s="649"/>
      <c r="AT26" s="318"/>
      <c r="AU26" s="325"/>
      <c r="AV26" s="325"/>
      <c r="AW26" s="325"/>
      <c r="AX26" s="315"/>
      <c r="AY26" s="321"/>
      <c r="AZ26" s="315"/>
      <c r="BA26" s="315"/>
      <c r="BB26" s="321"/>
      <c r="BC26" s="159"/>
      <c r="BD26" s="326"/>
      <c r="BE26" s="315"/>
      <c r="BF26" s="319"/>
      <c r="BG26" s="320"/>
      <c r="BH26" s="321"/>
      <c r="BI26" s="323"/>
      <c r="BJ26" s="262"/>
      <c r="BK26" s="342"/>
      <c r="BL26" s="320"/>
      <c r="BM26" s="321"/>
      <c r="BN26" s="321"/>
      <c r="BO26" s="321"/>
      <c r="BP26" s="321"/>
      <c r="BQ26" s="327"/>
      <c r="BR26" s="318"/>
      <c r="BS26" s="328"/>
      <c r="BT26" s="329"/>
      <c r="BU26" s="631"/>
      <c r="BV26" s="318"/>
      <c r="BW26" s="315"/>
      <c r="BX26" s="315"/>
      <c r="BY26" s="315"/>
      <c r="BZ26" s="315"/>
      <c r="CA26" s="315"/>
      <c r="CB26" s="315"/>
      <c r="CC26" s="330"/>
      <c r="CD26" s="318"/>
      <c r="CE26" s="315"/>
      <c r="CF26" s="315"/>
      <c r="CG26" s="319"/>
      <c r="CH26" s="318"/>
      <c r="CI26" s="319"/>
      <c r="CJ26" s="326"/>
      <c r="CK26" s="315"/>
      <c r="CL26" s="315"/>
      <c r="CM26" s="319"/>
      <c r="CN26" s="326"/>
      <c r="CO26" s="315"/>
      <c r="CP26" s="315"/>
      <c r="CQ26" s="315"/>
      <c r="CR26" s="319"/>
      <c r="CS26" s="318"/>
      <c r="CT26" s="331"/>
      <c r="CU26" s="188"/>
      <c r="CV26" s="332"/>
      <c r="CW26" s="333"/>
      <c r="CX26" s="334"/>
      <c r="CY26" s="318"/>
      <c r="CZ26" s="643"/>
      <c r="DA26" s="335"/>
      <c r="DB26" s="189"/>
      <c r="DC26" s="336"/>
      <c r="DD26" s="323"/>
      <c r="DE26" s="319"/>
      <c r="DF26" s="318"/>
      <c r="DG26" s="643"/>
      <c r="DH26" s="315"/>
      <c r="DI26" s="632"/>
      <c r="DJ26" s="633"/>
      <c r="DK26" s="318"/>
      <c r="DL26" s="315"/>
      <c r="DM26" s="315"/>
      <c r="DN26" s="315"/>
      <c r="DO26" s="315"/>
      <c r="DP26" s="315"/>
      <c r="DQ26" s="330"/>
      <c r="DR26" s="318"/>
      <c r="DS26" s="319"/>
      <c r="DT26" s="318"/>
      <c r="DU26" s="315"/>
      <c r="DV26" s="635"/>
      <c r="DW26" s="318"/>
      <c r="DX26" s="315"/>
      <c r="DY26" s="319"/>
      <c r="DZ26" s="318"/>
      <c r="EA26" s="315"/>
      <c r="EB26" s="315"/>
      <c r="EC26" s="315"/>
      <c r="ED26" s="330"/>
      <c r="EE26" s="318"/>
      <c r="EF26" s="319"/>
      <c r="EG26" s="326"/>
      <c r="EH26" s="315"/>
      <c r="EI26" s="635"/>
      <c r="EJ26" s="318"/>
      <c r="EK26" s="315"/>
      <c r="EL26" s="635"/>
      <c r="EM26" s="189"/>
      <c r="EN26" s="636"/>
      <c r="EO26" s="637"/>
      <c r="EP26" s="638"/>
      <c r="EQ26" s="315"/>
      <c r="ER26" s="315"/>
      <c r="ES26" s="319"/>
      <c r="ET26" s="639">
        <f t="shared" si="1"/>
        <v>1</v>
      </c>
      <c r="EU26" s="640"/>
      <c r="EV26" s="640">
        <f t="shared" si="2"/>
        <v>0</v>
      </c>
      <c r="EW26" s="640"/>
      <c r="EX26" s="641">
        <f t="shared" si="3"/>
        <v>0</v>
      </c>
    </row>
    <row r="27" spans="1:154" s="363" customFormat="1" ht="20.100000000000001" customHeight="1" x14ac:dyDescent="0.2">
      <c r="A27" s="646" t="s">
        <v>350</v>
      </c>
      <c r="B27" s="578" t="s">
        <v>484</v>
      </c>
      <c r="C27" s="312"/>
      <c r="D27" s="313" t="s">
        <v>485</v>
      </c>
      <c r="E27" s="312"/>
      <c r="F27" s="580" t="s">
        <v>486</v>
      </c>
      <c r="G27" s="581"/>
      <c r="H27" s="582" t="s">
        <v>487</v>
      </c>
      <c r="I27" s="627"/>
      <c r="J27" s="314"/>
      <c r="K27" s="315"/>
      <c r="L27" s="628"/>
      <c r="M27" s="629"/>
      <c r="N27" s="648"/>
      <c r="O27" s="317"/>
      <c r="P27" s="318"/>
      <c r="Q27" s="301"/>
      <c r="R27" s="301"/>
      <c r="S27" s="315"/>
      <c r="T27" s="315"/>
      <c r="U27" s="315"/>
      <c r="V27" s="315"/>
      <c r="W27" s="315"/>
      <c r="X27" s="315"/>
      <c r="Y27" s="315"/>
      <c r="Z27" s="315"/>
      <c r="AA27" s="319"/>
      <c r="AB27" s="320"/>
      <c r="AC27" s="315"/>
      <c r="AD27" s="315"/>
      <c r="AE27" s="315"/>
      <c r="AF27" s="315"/>
      <c r="AG27" s="321"/>
      <c r="AH27" s="322" t="str">
        <f t="shared" si="6"/>
        <v/>
      </c>
      <c r="AI27" s="323" t="str">
        <f>IF(ISNUMBER(AH27),100*AH27/(#REF!),"")</f>
        <v/>
      </c>
      <c r="AJ27" s="321"/>
      <c r="AK27" s="315"/>
      <c r="AL27" s="315"/>
      <c r="AM27" s="324"/>
      <c r="AN27" s="325"/>
      <c r="AO27" s="321"/>
      <c r="AP27" s="315"/>
      <c r="AQ27" s="321"/>
      <c r="AR27" s="321"/>
      <c r="AS27" s="649"/>
      <c r="AT27" s="318"/>
      <c r="AU27" s="325"/>
      <c r="AV27" s="325"/>
      <c r="AW27" s="325"/>
      <c r="AX27" s="315"/>
      <c r="AY27" s="321"/>
      <c r="AZ27" s="315"/>
      <c r="BA27" s="315"/>
      <c r="BB27" s="321"/>
      <c r="BC27" s="159"/>
      <c r="BD27" s="326"/>
      <c r="BE27" s="315"/>
      <c r="BF27" s="319"/>
      <c r="BG27" s="320"/>
      <c r="BH27" s="321"/>
      <c r="BI27" s="323"/>
      <c r="BJ27" s="262"/>
      <c r="BK27" s="342"/>
      <c r="BL27" s="320"/>
      <c r="BM27" s="321"/>
      <c r="BN27" s="321"/>
      <c r="BO27" s="321"/>
      <c r="BP27" s="321"/>
      <c r="BQ27" s="327"/>
      <c r="BR27" s="318"/>
      <c r="BS27" s="328"/>
      <c r="BT27" s="329"/>
      <c r="BU27" s="631"/>
      <c r="BV27" s="318"/>
      <c r="BW27" s="315"/>
      <c r="BX27" s="315"/>
      <c r="BY27" s="315"/>
      <c r="BZ27" s="315"/>
      <c r="CA27" s="315"/>
      <c r="CB27" s="315"/>
      <c r="CC27" s="330"/>
      <c r="CD27" s="318"/>
      <c r="CE27" s="315"/>
      <c r="CF27" s="315"/>
      <c r="CG27" s="319"/>
      <c r="CH27" s="318"/>
      <c r="CI27" s="319"/>
      <c r="CJ27" s="326"/>
      <c r="CK27" s="315"/>
      <c r="CL27" s="315"/>
      <c r="CM27" s="319"/>
      <c r="CN27" s="326"/>
      <c r="CO27" s="315"/>
      <c r="CP27" s="315"/>
      <c r="CQ27" s="315"/>
      <c r="CR27" s="319"/>
      <c r="CS27" s="318"/>
      <c r="CT27" s="331"/>
      <c r="CU27" s="188"/>
      <c r="CV27" s="332"/>
      <c r="CW27" s="333"/>
      <c r="CX27" s="334"/>
      <c r="CY27" s="318"/>
      <c r="CZ27" s="643"/>
      <c r="DA27" s="335"/>
      <c r="DB27" s="189"/>
      <c r="DC27" s="336"/>
      <c r="DD27" s="323"/>
      <c r="DE27" s="319"/>
      <c r="DF27" s="318"/>
      <c r="DG27" s="643"/>
      <c r="DH27" s="315"/>
      <c r="DI27" s="632"/>
      <c r="DJ27" s="633"/>
      <c r="DK27" s="318"/>
      <c r="DL27" s="315"/>
      <c r="DM27" s="315"/>
      <c r="DN27" s="315"/>
      <c r="DO27" s="315"/>
      <c r="DP27" s="315"/>
      <c r="DQ27" s="330"/>
      <c r="DR27" s="318"/>
      <c r="DS27" s="319"/>
      <c r="DT27" s="318"/>
      <c r="DU27" s="315"/>
      <c r="DV27" s="635"/>
      <c r="DW27" s="318"/>
      <c r="DX27" s="315"/>
      <c r="DY27" s="319"/>
      <c r="DZ27" s="318"/>
      <c r="EA27" s="315"/>
      <c r="EB27" s="315"/>
      <c r="EC27" s="315"/>
      <c r="ED27" s="330"/>
      <c r="EE27" s="318"/>
      <c r="EF27" s="319"/>
      <c r="EG27" s="326"/>
      <c r="EH27" s="315"/>
      <c r="EI27" s="635"/>
      <c r="EJ27" s="318"/>
      <c r="EK27" s="315"/>
      <c r="EL27" s="635"/>
      <c r="EM27" s="189"/>
      <c r="EN27" s="636"/>
      <c r="EO27" s="637"/>
      <c r="EP27" s="638"/>
      <c r="EQ27" s="315"/>
      <c r="ER27" s="315"/>
      <c r="ES27" s="319"/>
      <c r="ET27" s="639">
        <f t="shared" si="1"/>
        <v>1</v>
      </c>
      <c r="EU27" s="640"/>
      <c r="EV27" s="640">
        <f t="shared" si="2"/>
        <v>0</v>
      </c>
      <c r="EW27" s="640"/>
      <c r="EX27" s="641">
        <f t="shared" si="3"/>
        <v>0</v>
      </c>
    </row>
    <row r="28" spans="1:154" s="363" customFormat="1" ht="20.100000000000001" customHeight="1" x14ac:dyDescent="0.2">
      <c r="A28" s="646" t="s">
        <v>351</v>
      </c>
      <c r="B28" s="578" t="s">
        <v>484</v>
      </c>
      <c r="C28" s="312"/>
      <c r="D28" s="313" t="s">
        <v>485</v>
      </c>
      <c r="E28" s="312"/>
      <c r="F28" s="580" t="s">
        <v>486</v>
      </c>
      <c r="G28" s="581"/>
      <c r="H28" s="582" t="s">
        <v>487</v>
      </c>
      <c r="I28" s="627"/>
      <c r="J28" s="314"/>
      <c r="K28" s="315"/>
      <c r="L28" s="628"/>
      <c r="M28" s="629"/>
      <c r="N28" s="316"/>
      <c r="O28" s="317"/>
      <c r="P28" s="318"/>
      <c r="Q28" s="301"/>
      <c r="R28" s="301"/>
      <c r="S28" s="315"/>
      <c r="T28" s="315"/>
      <c r="U28" s="315"/>
      <c r="V28" s="315"/>
      <c r="W28" s="315"/>
      <c r="X28" s="315"/>
      <c r="Y28" s="315"/>
      <c r="Z28" s="315"/>
      <c r="AA28" s="319"/>
      <c r="AB28" s="320"/>
      <c r="AC28" s="315"/>
      <c r="AD28" s="315"/>
      <c r="AE28" s="315"/>
      <c r="AF28" s="315"/>
      <c r="AG28" s="321"/>
      <c r="AH28" s="322" t="str">
        <f t="shared" si="6"/>
        <v/>
      </c>
      <c r="AI28" s="323" t="str">
        <f>IF(ISNUMBER(AH28),100*AH28/(#REF!),"")</f>
        <v/>
      </c>
      <c r="AJ28" s="321"/>
      <c r="AK28" s="315"/>
      <c r="AL28" s="315"/>
      <c r="AM28" s="324"/>
      <c r="AN28" s="325"/>
      <c r="AO28" s="321"/>
      <c r="AP28" s="315"/>
      <c r="AQ28" s="321"/>
      <c r="AR28" s="321"/>
      <c r="AS28" s="339"/>
      <c r="AT28" s="318"/>
      <c r="AU28" s="325"/>
      <c r="AV28" s="325"/>
      <c r="AW28" s="325"/>
      <c r="AX28" s="315"/>
      <c r="AY28" s="321"/>
      <c r="AZ28" s="315"/>
      <c r="BA28" s="315"/>
      <c r="BB28" s="321"/>
      <c r="BC28" s="159"/>
      <c r="BD28" s="326"/>
      <c r="BE28" s="315"/>
      <c r="BF28" s="319"/>
      <c r="BG28" s="320"/>
      <c r="BH28" s="321"/>
      <c r="BI28" s="323"/>
      <c r="BJ28" s="262"/>
      <c r="BK28" s="342"/>
      <c r="BL28" s="320"/>
      <c r="BM28" s="321"/>
      <c r="BN28" s="321"/>
      <c r="BO28" s="321"/>
      <c r="BP28" s="321"/>
      <c r="BQ28" s="327"/>
      <c r="BR28" s="318"/>
      <c r="BS28" s="328"/>
      <c r="BT28" s="329"/>
      <c r="BU28" s="631"/>
      <c r="BV28" s="318"/>
      <c r="BW28" s="315"/>
      <c r="BX28" s="315"/>
      <c r="BY28" s="315"/>
      <c r="BZ28" s="315"/>
      <c r="CA28" s="315"/>
      <c r="CB28" s="315"/>
      <c r="CC28" s="330"/>
      <c r="CD28" s="318"/>
      <c r="CE28" s="315"/>
      <c r="CF28" s="315"/>
      <c r="CG28" s="319"/>
      <c r="CH28" s="318"/>
      <c r="CI28" s="319"/>
      <c r="CJ28" s="326"/>
      <c r="CK28" s="315"/>
      <c r="CL28" s="315"/>
      <c r="CM28" s="319"/>
      <c r="CN28" s="326"/>
      <c r="CO28" s="315"/>
      <c r="CP28" s="315"/>
      <c r="CQ28" s="315"/>
      <c r="CR28" s="319"/>
      <c r="CS28" s="318"/>
      <c r="CT28" s="331"/>
      <c r="CU28" s="188"/>
      <c r="CV28" s="332"/>
      <c r="CW28" s="333"/>
      <c r="CX28" s="334"/>
      <c r="CY28" s="318"/>
      <c r="CZ28" s="643"/>
      <c r="DA28" s="335"/>
      <c r="DB28" s="189"/>
      <c r="DC28" s="336"/>
      <c r="DD28" s="323"/>
      <c r="DE28" s="319"/>
      <c r="DF28" s="318"/>
      <c r="DG28" s="643"/>
      <c r="DH28" s="315"/>
      <c r="DI28" s="632"/>
      <c r="DJ28" s="633"/>
      <c r="DK28" s="318"/>
      <c r="DL28" s="315"/>
      <c r="DM28" s="315"/>
      <c r="DN28" s="315"/>
      <c r="DO28" s="315"/>
      <c r="DP28" s="315"/>
      <c r="DQ28" s="330"/>
      <c r="DR28" s="318"/>
      <c r="DS28" s="319"/>
      <c r="DT28" s="318"/>
      <c r="DU28" s="315"/>
      <c r="DV28" s="635"/>
      <c r="DW28" s="318"/>
      <c r="DX28" s="315"/>
      <c r="DY28" s="319"/>
      <c r="DZ28" s="318"/>
      <c r="EA28" s="315"/>
      <c r="EB28" s="315"/>
      <c r="EC28" s="315"/>
      <c r="ED28" s="330"/>
      <c r="EE28" s="318"/>
      <c r="EF28" s="319"/>
      <c r="EG28" s="326"/>
      <c r="EH28" s="315"/>
      <c r="EI28" s="635"/>
      <c r="EJ28" s="318"/>
      <c r="EK28" s="315"/>
      <c r="EL28" s="635"/>
      <c r="EM28" s="189"/>
      <c r="EN28" s="636"/>
      <c r="EO28" s="637"/>
      <c r="EP28" s="638"/>
      <c r="EQ28" s="315"/>
      <c r="ER28" s="315"/>
      <c r="ES28" s="319"/>
      <c r="ET28" s="639">
        <f t="shared" si="1"/>
        <v>1</v>
      </c>
      <c r="EU28" s="640"/>
      <c r="EV28" s="640">
        <f t="shared" si="2"/>
        <v>0</v>
      </c>
      <c r="EW28" s="640"/>
      <c r="EX28" s="641">
        <f t="shared" si="3"/>
        <v>0</v>
      </c>
    </row>
    <row r="29" spans="1:154" s="363" customFormat="1" ht="20.100000000000001" customHeight="1" x14ac:dyDescent="0.2">
      <c r="A29" s="646" t="s">
        <v>352</v>
      </c>
      <c r="B29" s="578" t="s">
        <v>484</v>
      </c>
      <c r="C29" s="312"/>
      <c r="D29" s="313" t="s">
        <v>485</v>
      </c>
      <c r="E29" s="312"/>
      <c r="F29" s="580" t="s">
        <v>486</v>
      </c>
      <c r="G29" s="581"/>
      <c r="H29" s="582" t="s">
        <v>487</v>
      </c>
      <c r="I29" s="627"/>
      <c r="J29" s="314"/>
      <c r="K29" s="315"/>
      <c r="L29" s="628"/>
      <c r="M29" s="629"/>
      <c r="N29" s="644"/>
      <c r="O29" s="317"/>
      <c r="P29" s="318"/>
      <c r="Q29" s="301"/>
      <c r="R29" s="301"/>
      <c r="S29" s="315"/>
      <c r="T29" s="315"/>
      <c r="U29" s="315"/>
      <c r="V29" s="315"/>
      <c r="W29" s="315"/>
      <c r="X29" s="315"/>
      <c r="Y29" s="315"/>
      <c r="Z29" s="315"/>
      <c r="AA29" s="319"/>
      <c r="AB29" s="320"/>
      <c r="AC29" s="315"/>
      <c r="AD29" s="315"/>
      <c r="AE29" s="315"/>
      <c r="AF29" s="315"/>
      <c r="AG29" s="321"/>
      <c r="AH29" s="322" t="str">
        <f t="shared" si="6"/>
        <v/>
      </c>
      <c r="AI29" s="323" t="str">
        <f>IF(ISNUMBER(AH29),100*AH29/(#REF!),"")</f>
        <v/>
      </c>
      <c r="AJ29" s="321"/>
      <c r="AK29" s="315"/>
      <c r="AL29" s="315"/>
      <c r="AM29" s="324"/>
      <c r="AN29" s="325"/>
      <c r="AO29" s="321"/>
      <c r="AP29" s="315"/>
      <c r="AQ29" s="321"/>
      <c r="AR29" s="321"/>
      <c r="AS29" s="339"/>
      <c r="AT29" s="318"/>
      <c r="AU29" s="325"/>
      <c r="AV29" s="325"/>
      <c r="AW29" s="325"/>
      <c r="AX29" s="315"/>
      <c r="AY29" s="321"/>
      <c r="AZ29" s="315"/>
      <c r="BA29" s="315"/>
      <c r="BB29" s="321"/>
      <c r="BC29" s="159"/>
      <c r="BD29" s="326"/>
      <c r="BE29" s="315"/>
      <c r="BF29" s="319"/>
      <c r="BG29" s="320"/>
      <c r="BH29" s="321"/>
      <c r="BI29" s="323"/>
      <c r="BJ29" s="262"/>
      <c r="BK29" s="342"/>
      <c r="BL29" s="320"/>
      <c r="BM29" s="321"/>
      <c r="BN29" s="321"/>
      <c r="BO29" s="321"/>
      <c r="BP29" s="321"/>
      <c r="BQ29" s="327"/>
      <c r="BR29" s="318"/>
      <c r="BS29" s="328"/>
      <c r="BT29" s="329"/>
      <c r="BU29" s="631"/>
      <c r="BV29" s="318"/>
      <c r="BW29" s="315"/>
      <c r="BX29" s="315"/>
      <c r="BY29" s="315"/>
      <c r="BZ29" s="315"/>
      <c r="CA29" s="315"/>
      <c r="CB29" s="315"/>
      <c r="CC29" s="330"/>
      <c r="CD29" s="318"/>
      <c r="CE29" s="315"/>
      <c r="CF29" s="315"/>
      <c r="CG29" s="319"/>
      <c r="CH29" s="318"/>
      <c r="CI29" s="319"/>
      <c r="CJ29" s="326"/>
      <c r="CK29" s="315"/>
      <c r="CL29" s="315"/>
      <c r="CM29" s="319"/>
      <c r="CN29" s="326"/>
      <c r="CO29" s="315"/>
      <c r="CP29" s="315"/>
      <c r="CQ29" s="315"/>
      <c r="CR29" s="319"/>
      <c r="CS29" s="318"/>
      <c r="CT29" s="331"/>
      <c r="CU29" s="188"/>
      <c r="CV29" s="332"/>
      <c r="CW29" s="333"/>
      <c r="CX29" s="334"/>
      <c r="CY29" s="318"/>
      <c r="CZ29" s="643"/>
      <c r="DA29" s="335"/>
      <c r="DB29" s="189"/>
      <c r="DC29" s="336"/>
      <c r="DD29" s="323"/>
      <c r="DE29" s="319"/>
      <c r="DF29" s="318"/>
      <c r="DG29" s="643"/>
      <c r="DH29" s="315"/>
      <c r="DI29" s="632"/>
      <c r="DJ29" s="633"/>
      <c r="DK29" s="318"/>
      <c r="DL29" s="315"/>
      <c r="DM29" s="315"/>
      <c r="DN29" s="315"/>
      <c r="DO29" s="315"/>
      <c r="DP29" s="315"/>
      <c r="DQ29" s="330"/>
      <c r="DR29" s="318"/>
      <c r="DS29" s="319"/>
      <c r="DT29" s="318"/>
      <c r="DU29" s="315"/>
      <c r="DV29" s="635"/>
      <c r="DW29" s="318"/>
      <c r="DX29" s="315"/>
      <c r="DY29" s="319"/>
      <c r="DZ29" s="318"/>
      <c r="EA29" s="315"/>
      <c r="EB29" s="315"/>
      <c r="EC29" s="315"/>
      <c r="ED29" s="330"/>
      <c r="EE29" s="318"/>
      <c r="EF29" s="319"/>
      <c r="EG29" s="326"/>
      <c r="EH29" s="315"/>
      <c r="EI29" s="635"/>
      <c r="EJ29" s="318"/>
      <c r="EK29" s="315"/>
      <c r="EL29" s="635"/>
      <c r="EM29" s="189"/>
      <c r="EN29" s="636"/>
      <c r="EO29" s="637"/>
      <c r="EP29" s="638"/>
      <c r="EQ29" s="315"/>
      <c r="ER29" s="315"/>
      <c r="ES29" s="319"/>
      <c r="ET29" s="639">
        <f t="shared" si="1"/>
        <v>1</v>
      </c>
      <c r="EU29" s="640"/>
      <c r="EV29" s="640">
        <f t="shared" si="2"/>
        <v>0</v>
      </c>
      <c r="EW29" s="640"/>
      <c r="EX29" s="641">
        <f t="shared" si="3"/>
        <v>0</v>
      </c>
    </row>
    <row r="30" spans="1:154" s="363" customFormat="1" ht="20.100000000000001" customHeight="1" x14ac:dyDescent="0.2">
      <c r="A30" s="646" t="s">
        <v>353</v>
      </c>
      <c r="B30" s="578" t="s">
        <v>484</v>
      </c>
      <c r="C30" s="312"/>
      <c r="D30" s="313" t="s">
        <v>485</v>
      </c>
      <c r="E30" s="312"/>
      <c r="F30" s="580" t="s">
        <v>486</v>
      </c>
      <c r="G30" s="581"/>
      <c r="H30" s="582" t="s">
        <v>487</v>
      </c>
      <c r="I30" s="627"/>
      <c r="J30" s="314"/>
      <c r="K30" s="315"/>
      <c r="L30" s="628"/>
      <c r="M30" s="629"/>
      <c r="N30" s="644"/>
      <c r="O30" s="317"/>
      <c r="P30" s="318"/>
      <c r="Q30" s="301"/>
      <c r="R30" s="301"/>
      <c r="S30" s="315"/>
      <c r="T30" s="315"/>
      <c r="U30" s="315"/>
      <c r="V30" s="315"/>
      <c r="W30" s="315"/>
      <c r="X30" s="315"/>
      <c r="Y30" s="315"/>
      <c r="Z30" s="315"/>
      <c r="AA30" s="319"/>
      <c r="AB30" s="320"/>
      <c r="AC30" s="315"/>
      <c r="AD30" s="315"/>
      <c r="AE30" s="315"/>
      <c r="AF30" s="315"/>
      <c r="AG30" s="321"/>
      <c r="AH30" s="322" t="str">
        <f t="shared" si="6"/>
        <v/>
      </c>
      <c r="AI30" s="323" t="str">
        <f>IF(ISNUMBER(AH30),100*AH30/(#REF!),"")</f>
        <v/>
      </c>
      <c r="AJ30" s="321"/>
      <c r="AK30" s="315"/>
      <c r="AL30" s="315"/>
      <c r="AM30" s="324"/>
      <c r="AN30" s="325"/>
      <c r="AO30" s="321"/>
      <c r="AP30" s="315"/>
      <c r="AQ30" s="321"/>
      <c r="AR30" s="321"/>
      <c r="AS30" s="339"/>
      <c r="AT30" s="318"/>
      <c r="AU30" s="325"/>
      <c r="AV30" s="325"/>
      <c r="AW30" s="325"/>
      <c r="AX30" s="315"/>
      <c r="AY30" s="321"/>
      <c r="AZ30" s="315"/>
      <c r="BA30" s="315"/>
      <c r="BB30" s="321"/>
      <c r="BC30" s="159"/>
      <c r="BD30" s="326"/>
      <c r="BE30" s="315"/>
      <c r="BF30" s="319"/>
      <c r="BG30" s="320"/>
      <c r="BH30" s="321"/>
      <c r="BI30" s="323"/>
      <c r="BJ30" s="262"/>
      <c r="BK30" s="342"/>
      <c r="BL30" s="320"/>
      <c r="BM30" s="321"/>
      <c r="BN30" s="321"/>
      <c r="BO30" s="321"/>
      <c r="BP30" s="321"/>
      <c r="BQ30" s="327"/>
      <c r="BR30" s="318"/>
      <c r="BS30" s="328"/>
      <c r="BT30" s="329"/>
      <c r="BU30" s="631"/>
      <c r="BV30" s="318"/>
      <c r="BW30" s="315"/>
      <c r="BX30" s="315"/>
      <c r="BY30" s="315"/>
      <c r="BZ30" s="315"/>
      <c r="CA30" s="315"/>
      <c r="CB30" s="315"/>
      <c r="CC30" s="330"/>
      <c r="CD30" s="318"/>
      <c r="CE30" s="315"/>
      <c r="CF30" s="315"/>
      <c r="CG30" s="319"/>
      <c r="CH30" s="318"/>
      <c r="CI30" s="319"/>
      <c r="CJ30" s="326"/>
      <c r="CK30" s="315"/>
      <c r="CL30" s="315"/>
      <c r="CM30" s="319"/>
      <c r="CN30" s="326"/>
      <c r="CO30" s="315"/>
      <c r="CP30" s="315"/>
      <c r="CQ30" s="315"/>
      <c r="CR30" s="319"/>
      <c r="CS30" s="318"/>
      <c r="CT30" s="331"/>
      <c r="CU30" s="188"/>
      <c r="CV30" s="332"/>
      <c r="CW30" s="333"/>
      <c r="CX30" s="334"/>
      <c r="CY30" s="318"/>
      <c r="CZ30" s="643"/>
      <c r="DA30" s="335"/>
      <c r="DB30" s="189"/>
      <c r="DC30" s="336"/>
      <c r="DD30" s="323"/>
      <c r="DE30" s="319"/>
      <c r="DF30" s="318"/>
      <c r="DG30" s="643"/>
      <c r="DH30" s="315"/>
      <c r="DI30" s="632"/>
      <c r="DJ30" s="633"/>
      <c r="DK30" s="318"/>
      <c r="DL30" s="315"/>
      <c r="DM30" s="315"/>
      <c r="DN30" s="315"/>
      <c r="DO30" s="315"/>
      <c r="DP30" s="315"/>
      <c r="DQ30" s="330"/>
      <c r="DR30" s="318"/>
      <c r="DS30" s="319"/>
      <c r="DT30" s="318"/>
      <c r="DU30" s="315"/>
      <c r="DV30" s="635"/>
      <c r="DW30" s="318"/>
      <c r="DX30" s="315"/>
      <c r="DY30" s="319"/>
      <c r="DZ30" s="318"/>
      <c r="EA30" s="315"/>
      <c r="EB30" s="315"/>
      <c r="EC30" s="315"/>
      <c r="ED30" s="330"/>
      <c r="EE30" s="318"/>
      <c r="EF30" s="319"/>
      <c r="EG30" s="326"/>
      <c r="EH30" s="315"/>
      <c r="EI30" s="635"/>
      <c r="EJ30" s="318"/>
      <c r="EK30" s="315"/>
      <c r="EL30" s="635"/>
      <c r="EM30" s="189"/>
      <c r="EN30" s="636"/>
      <c r="EO30" s="637"/>
      <c r="EP30" s="638"/>
      <c r="EQ30" s="315"/>
      <c r="ER30" s="315"/>
      <c r="ES30" s="319"/>
      <c r="ET30" s="639">
        <f t="shared" si="1"/>
        <v>1</v>
      </c>
      <c r="EU30" s="640"/>
      <c r="EV30" s="640">
        <f t="shared" si="2"/>
        <v>0</v>
      </c>
      <c r="EW30" s="640"/>
      <c r="EX30" s="641">
        <f t="shared" si="3"/>
        <v>0</v>
      </c>
    </row>
    <row r="31" spans="1:154" s="363" customFormat="1" ht="20.100000000000001" customHeight="1" x14ac:dyDescent="0.2">
      <c r="A31" s="646" t="s">
        <v>354</v>
      </c>
      <c r="B31" s="578" t="s">
        <v>484</v>
      </c>
      <c r="C31" s="312"/>
      <c r="D31" s="313" t="s">
        <v>485</v>
      </c>
      <c r="E31" s="312"/>
      <c r="F31" s="580" t="s">
        <v>486</v>
      </c>
      <c r="G31" s="581"/>
      <c r="H31" s="582" t="s">
        <v>487</v>
      </c>
      <c r="I31" s="627"/>
      <c r="J31" s="314"/>
      <c r="K31" s="315"/>
      <c r="L31" s="628"/>
      <c r="M31" s="629"/>
      <c r="N31" s="644"/>
      <c r="O31" s="317"/>
      <c r="P31" s="318"/>
      <c r="Q31" s="301"/>
      <c r="R31" s="301"/>
      <c r="S31" s="315"/>
      <c r="T31" s="315"/>
      <c r="U31" s="315"/>
      <c r="V31" s="315"/>
      <c r="W31" s="315"/>
      <c r="X31" s="315"/>
      <c r="Y31" s="315"/>
      <c r="Z31" s="315"/>
      <c r="AA31" s="319"/>
      <c r="AB31" s="320"/>
      <c r="AC31" s="315"/>
      <c r="AD31" s="315"/>
      <c r="AE31" s="315"/>
      <c r="AF31" s="315"/>
      <c r="AG31" s="321"/>
      <c r="AH31" s="322" t="str">
        <f t="shared" si="6"/>
        <v/>
      </c>
      <c r="AI31" s="323" t="str">
        <f>IF(ISNUMBER(AH31),100*AH31/(#REF!),"")</f>
        <v/>
      </c>
      <c r="AJ31" s="321"/>
      <c r="AK31" s="315"/>
      <c r="AL31" s="315"/>
      <c r="AM31" s="324"/>
      <c r="AN31" s="325"/>
      <c r="AO31" s="321"/>
      <c r="AP31" s="315"/>
      <c r="AQ31" s="321"/>
      <c r="AR31" s="321"/>
      <c r="AS31" s="339"/>
      <c r="AT31" s="318"/>
      <c r="AU31" s="325"/>
      <c r="AV31" s="325"/>
      <c r="AW31" s="325"/>
      <c r="AX31" s="315"/>
      <c r="AY31" s="321"/>
      <c r="AZ31" s="315"/>
      <c r="BA31" s="315"/>
      <c r="BB31" s="321"/>
      <c r="BC31" s="159"/>
      <c r="BD31" s="326"/>
      <c r="BE31" s="315"/>
      <c r="BF31" s="319"/>
      <c r="BG31" s="320"/>
      <c r="BH31" s="321"/>
      <c r="BI31" s="323"/>
      <c r="BJ31" s="262"/>
      <c r="BK31" s="342"/>
      <c r="BL31" s="320"/>
      <c r="BM31" s="321"/>
      <c r="BN31" s="321"/>
      <c r="BO31" s="321"/>
      <c r="BP31" s="321"/>
      <c r="BQ31" s="327"/>
      <c r="BR31" s="318"/>
      <c r="BS31" s="328"/>
      <c r="BT31" s="329"/>
      <c r="BU31" s="631"/>
      <c r="BV31" s="318"/>
      <c r="BW31" s="315"/>
      <c r="BX31" s="315"/>
      <c r="BY31" s="315"/>
      <c r="BZ31" s="315"/>
      <c r="CA31" s="315"/>
      <c r="CB31" s="315"/>
      <c r="CC31" s="330"/>
      <c r="CD31" s="318"/>
      <c r="CE31" s="315"/>
      <c r="CF31" s="315"/>
      <c r="CG31" s="319"/>
      <c r="CH31" s="318"/>
      <c r="CI31" s="319"/>
      <c r="CJ31" s="326"/>
      <c r="CK31" s="315"/>
      <c r="CL31" s="315"/>
      <c r="CM31" s="319"/>
      <c r="CN31" s="326"/>
      <c r="CO31" s="315"/>
      <c r="CP31" s="315"/>
      <c r="CQ31" s="315"/>
      <c r="CR31" s="319"/>
      <c r="CS31" s="318"/>
      <c r="CT31" s="331"/>
      <c r="CU31" s="188"/>
      <c r="CV31" s="332"/>
      <c r="CW31" s="333"/>
      <c r="CX31" s="334"/>
      <c r="CY31" s="318"/>
      <c r="CZ31" s="643"/>
      <c r="DA31" s="335"/>
      <c r="DB31" s="189"/>
      <c r="DC31" s="336"/>
      <c r="DD31" s="323"/>
      <c r="DE31" s="319"/>
      <c r="DF31" s="318"/>
      <c r="DG31" s="643"/>
      <c r="DH31" s="315"/>
      <c r="DI31" s="632"/>
      <c r="DJ31" s="633"/>
      <c r="DK31" s="318"/>
      <c r="DL31" s="315"/>
      <c r="DM31" s="315"/>
      <c r="DN31" s="315"/>
      <c r="DO31" s="315"/>
      <c r="DP31" s="315"/>
      <c r="DQ31" s="330"/>
      <c r="DR31" s="318"/>
      <c r="DS31" s="319"/>
      <c r="DT31" s="318"/>
      <c r="DU31" s="315"/>
      <c r="DV31" s="635"/>
      <c r="DW31" s="318"/>
      <c r="DX31" s="315"/>
      <c r="DY31" s="319"/>
      <c r="DZ31" s="318"/>
      <c r="EA31" s="315"/>
      <c r="EB31" s="315"/>
      <c r="EC31" s="315"/>
      <c r="ED31" s="330"/>
      <c r="EE31" s="318"/>
      <c r="EF31" s="319"/>
      <c r="EG31" s="326"/>
      <c r="EH31" s="315"/>
      <c r="EI31" s="635"/>
      <c r="EJ31" s="318"/>
      <c r="EK31" s="315"/>
      <c r="EL31" s="635"/>
      <c r="EM31" s="189"/>
      <c r="EN31" s="636"/>
      <c r="EO31" s="637"/>
      <c r="EP31" s="638"/>
      <c r="EQ31" s="315"/>
      <c r="ER31" s="315"/>
      <c r="ES31" s="319"/>
      <c r="ET31" s="639">
        <f t="shared" si="1"/>
        <v>1</v>
      </c>
      <c r="EU31" s="640"/>
      <c r="EV31" s="640">
        <f t="shared" si="2"/>
        <v>0</v>
      </c>
      <c r="EW31" s="640"/>
      <c r="EX31" s="641">
        <f t="shared" si="3"/>
        <v>0</v>
      </c>
    </row>
    <row r="32" spans="1:154" s="363" customFormat="1" ht="20.100000000000001" customHeight="1" x14ac:dyDescent="0.2">
      <c r="A32" s="646" t="s">
        <v>355</v>
      </c>
      <c r="B32" s="578" t="s">
        <v>484</v>
      </c>
      <c r="C32" s="312"/>
      <c r="D32" s="313" t="s">
        <v>485</v>
      </c>
      <c r="E32" s="312"/>
      <c r="F32" s="580" t="s">
        <v>486</v>
      </c>
      <c r="G32" s="581"/>
      <c r="H32" s="582" t="s">
        <v>487</v>
      </c>
      <c r="I32" s="627"/>
      <c r="J32" s="314"/>
      <c r="K32" s="315"/>
      <c r="L32" s="628"/>
      <c r="M32" s="629"/>
      <c r="N32" s="644"/>
      <c r="O32" s="317"/>
      <c r="P32" s="318"/>
      <c r="Q32" s="301"/>
      <c r="R32" s="301"/>
      <c r="S32" s="315"/>
      <c r="T32" s="315"/>
      <c r="U32" s="315"/>
      <c r="V32" s="315"/>
      <c r="W32" s="315"/>
      <c r="X32" s="315"/>
      <c r="Y32" s="315"/>
      <c r="Z32" s="315"/>
      <c r="AA32" s="319"/>
      <c r="AB32" s="320"/>
      <c r="AC32" s="315"/>
      <c r="AD32" s="315"/>
      <c r="AE32" s="315"/>
      <c r="AF32" s="315"/>
      <c r="AG32" s="321"/>
      <c r="AH32" s="322" t="str">
        <f t="shared" si="6"/>
        <v/>
      </c>
      <c r="AI32" s="323" t="str">
        <f>IF(ISNUMBER(AH32),100*AH32/(#REF!),"")</f>
        <v/>
      </c>
      <c r="AJ32" s="321"/>
      <c r="AK32" s="315"/>
      <c r="AL32" s="315"/>
      <c r="AM32" s="324"/>
      <c r="AN32" s="325"/>
      <c r="AO32" s="321"/>
      <c r="AP32" s="315"/>
      <c r="AQ32" s="321"/>
      <c r="AR32" s="321"/>
      <c r="AS32" s="339"/>
      <c r="AT32" s="318"/>
      <c r="AU32" s="325"/>
      <c r="AV32" s="325"/>
      <c r="AW32" s="325"/>
      <c r="AX32" s="315"/>
      <c r="AY32" s="321"/>
      <c r="AZ32" s="315"/>
      <c r="BA32" s="315"/>
      <c r="BB32" s="321"/>
      <c r="BC32" s="159"/>
      <c r="BD32" s="326"/>
      <c r="BE32" s="315"/>
      <c r="BF32" s="319"/>
      <c r="BG32" s="320"/>
      <c r="BH32" s="321"/>
      <c r="BI32" s="323"/>
      <c r="BJ32" s="262"/>
      <c r="BK32" s="342"/>
      <c r="BL32" s="320"/>
      <c r="BM32" s="321"/>
      <c r="BN32" s="321"/>
      <c r="BO32" s="321"/>
      <c r="BP32" s="321"/>
      <c r="BQ32" s="327"/>
      <c r="BR32" s="318"/>
      <c r="BS32" s="328"/>
      <c r="BT32" s="329"/>
      <c r="BU32" s="631"/>
      <c r="BV32" s="318"/>
      <c r="BW32" s="315"/>
      <c r="BX32" s="315"/>
      <c r="BY32" s="315"/>
      <c r="BZ32" s="315"/>
      <c r="CA32" s="315"/>
      <c r="CB32" s="315"/>
      <c r="CC32" s="330"/>
      <c r="CD32" s="318"/>
      <c r="CE32" s="315"/>
      <c r="CF32" s="315"/>
      <c r="CG32" s="319"/>
      <c r="CH32" s="318"/>
      <c r="CI32" s="319"/>
      <c r="CJ32" s="326"/>
      <c r="CK32" s="315"/>
      <c r="CL32" s="315"/>
      <c r="CM32" s="319"/>
      <c r="CN32" s="326"/>
      <c r="CO32" s="315"/>
      <c r="CP32" s="315"/>
      <c r="CQ32" s="315"/>
      <c r="CR32" s="319"/>
      <c r="CS32" s="318"/>
      <c r="CT32" s="331"/>
      <c r="CU32" s="188"/>
      <c r="CV32" s="332"/>
      <c r="CW32" s="333"/>
      <c r="CX32" s="334"/>
      <c r="CY32" s="318"/>
      <c r="CZ32" s="643"/>
      <c r="DA32" s="335"/>
      <c r="DB32" s="189"/>
      <c r="DC32" s="336"/>
      <c r="DD32" s="323"/>
      <c r="DE32" s="319"/>
      <c r="DF32" s="318"/>
      <c r="DG32" s="643"/>
      <c r="DH32" s="315"/>
      <c r="DI32" s="632"/>
      <c r="DJ32" s="633"/>
      <c r="DK32" s="318"/>
      <c r="DL32" s="315"/>
      <c r="DM32" s="315"/>
      <c r="DN32" s="315"/>
      <c r="DO32" s="315"/>
      <c r="DP32" s="315"/>
      <c r="DQ32" s="330"/>
      <c r="DR32" s="318"/>
      <c r="DS32" s="319"/>
      <c r="DT32" s="318"/>
      <c r="DU32" s="315"/>
      <c r="DV32" s="635"/>
      <c r="DW32" s="318"/>
      <c r="DX32" s="315"/>
      <c r="DY32" s="319"/>
      <c r="DZ32" s="318"/>
      <c r="EA32" s="315"/>
      <c r="EB32" s="315"/>
      <c r="EC32" s="315"/>
      <c r="ED32" s="330"/>
      <c r="EE32" s="318"/>
      <c r="EF32" s="319"/>
      <c r="EG32" s="326"/>
      <c r="EH32" s="315"/>
      <c r="EI32" s="635"/>
      <c r="EJ32" s="318"/>
      <c r="EK32" s="315"/>
      <c r="EL32" s="635"/>
      <c r="EM32" s="189"/>
      <c r="EN32" s="636"/>
      <c r="EO32" s="637"/>
      <c r="EP32" s="638"/>
      <c r="EQ32" s="315"/>
      <c r="ER32" s="315"/>
      <c r="ES32" s="319"/>
      <c r="ET32" s="639">
        <f t="shared" si="1"/>
        <v>1</v>
      </c>
      <c r="EU32" s="640"/>
      <c r="EV32" s="640">
        <f t="shared" si="2"/>
        <v>0</v>
      </c>
      <c r="EW32" s="640"/>
      <c r="EX32" s="641">
        <f t="shared" si="3"/>
        <v>0</v>
      </c>
    </row>
    <row r="33" spans="1:154" s="363" customFormat="1" ht="20.100000000000001" customHeight="1" x14ac:dyDescent="0.2">
      <c r="A33" s="646" t="s">
        <v>356</v>
      </c>
      <c r="B33" s="578" t="s">
        <v>484</v>
      </c>
      <c r="C33" s="312"/>
      <c r="D33" s="313" t="s">
        <v>485</v>
      </c>
      <c r="E33" s="312"/>
      <c r="F33" s="580" t="s">
        <v>486</v>
      </c>
      <c r="G33" s="581"/>
      <c r="H33" s="582" t="s">
        <v>487</v>
      </c>
      <c r="I33" s="627"/>
      <c r="J33" s="314"/>
      <c r="K33" s="315"/>
      <c r="L33" s="628"/>
      <c r="M33" s="629"/>
      <c r="N33" s="316"/>
      <c r="O33" s="317"/>
      <c r="P33" s="318"/>
      <c r="Q33" s="301"/>
      <c r="R33" s="301"/>
      <c r="S33" s="315"/>
      <c r="T33" s="315"/>
      <c r="U33" s="315"/>
      <c r="V33" s="315"/>
      <c r="W33" s="315"/>
      <c r="X33" s="315"/>
      <c r="Y33" s="315"/>
      <c r="Z33" s="315"/>
      <c r="AA33" s="319"/>
      <c r="AB33" s="320"/>
      <c r="AC33" s="315"/>
      <c r="AD33" s="315"/>
      <c r="AE33" s="315"/>
      <c r="AF33" s="315"/>
      <c r="AG33" s="321"/>
      <c r="AH33" s="322" t="str">
        <f t="shared" si="6"/>
        <v/>
      </c>
      <c r="AI33" s="323" t="str">
        <f>IF(ISNUMBER(AH33),100*AH33/(#REF!),"")</f>
        <v/>
      </c>
      <c r="AJ33" s="321"/>
      <c r="AK33" s="315"/>
      <c r="AL33" s="315"/>
      <c r="AM33" s="324"/>
      <c r="AN33" s="325"/>
      <c r="AO33" s="321"/>
      <c r="AP33" s="315"/>
      <c r="AQ33" s="321"/>
      <c r="AR33" s="321"/>
      <c r="AS33" s="339"/>
      <c r="AT33" s="318"/>
      <c r="AU33" s="325"/>
      <c r="AV33" s="325"/>
      <c r="AW33" s="325"/>
      <c r="AX33" s="315"/>
      <c r="AY33" s="321"/>
      <c r="AZ33" s="315"/>
      <c r="BA33" s="315"/>
      <c r="BB33" s="321"/>
      <c r="BC33" s="159"/>
      <c r="BD33" s="326"/>
      <c r="BE33" s="315"/>
      <c r="BF33" s="319"/>
      <c r="BG33" s="320"/>
      <c r="BH33" s="321"/>
      <c r="BI33" s="323"/>
      <c r="BJ33" s="262"/>
      <c r="BK33" s="342"/>
      <c r="BL33" s="320"/>
      <c r="BM33" s="321"/>
      <c r="BN33" s="321"/>
      <c r="BO33" s="321"/>
      <c r="BP33" s="321"/>
      <c r="BQ33" s="327"/>
      <c r="BR33" s="318"/>
      <c r="BS33" s="328"/>
      <c r="BT33" s="329"/>
      <c r="BU33" s="631"/>
      <c r="BV33" s="318"/>
      <c r="BW33" s="315"/>
      <c r="BX33" s="315"/>
      <c r="BY33" s="315"/>
      <c r="BZ33" s="315"/>
      <c r="CA33" s="315"/>
      <c r="CB33" s="315"/>
      <c r="CC33" s="330"/>
      <c r="CD33" s="318"/>
      <c r="CE33" s="315"/>
      <c r="CF33" s="315"/>
      <c r="CG33" s="319"/>
      <c r="CH33" s="318"/>
      <c r="CI33" s="319"/>
      <c r="CJ33" s="326"/>
      <c r="CK33" s="315"/>
      <c r="CL33" s="315"/>
      <c r="CM33" s="319"/>
      <c r="CN33" s="326"/>
      <c r="CO33" s="315"/>
      <c r="CP33" s="315"/>
      <c r="CQ33" s="315"/>
      <c r="CR33" s="319"/>
      <c r="CS33" s="318"/>
      <c r="CT33" s="331"/>
      <c r="CU33" s="188"/>
      <c r="CV33" s="332"/>
      <c r="CW33" s="333"/>
      <c r="CX33" s="334"/>
      <c r="CY33" s="318"/>
      <c r="CZ33" s="643"/>
      <c r="DA33" s="335"/>
      <c r="DB33" s="189"/>
      <c r="DC33" s="336"/>
      <c r="DD33" s="323"/>
      <c r="DE33" s="319"/>
      <c r="DF33" s="318"/>
      <c r="DG33" s="643"/>
      <c r="DH33" s="315"/>
      <c r="DI33" s="632"/>
      <c r="DJ33" s="633"/>
      <c r="DK33" s="318"/>
      <c r="DL33" s="315"/>
      <c r="DM33" s="315"/>
      <c r="DN33" s="315"/>
      <c r="DO33" s="315"/>
      <c r="DP33" s="315"/>
      <c r="DQ33" s="330"/>
      <c r="DR33" s="318"/>
      <c r="DS33" s="319"/>
      <c r="DT33" s="318"/>
      <c r="DU33" s="315"/>
      <c r="DV33" s="635"/>
      <c r="DW33" s="318"/>
      <c r="DX33" s="315"/>
      <c r="DY33" s="319"/>
      <c r="DZ33" s="318"/>
      <c r="EA33" s="315"/>
      <c r="EB33" s="315"/>
      <c r="EC33" s="315"/>
      <c r="ED33" s="330"/>
      <c r="EE33" s="318"/>
      <c r="EF33" s="319"/>
      <c r="EG33" s="326"/>
      <c r="EH33" s="315"/>
      <c r="EI33" s="635"/>
      <c r="EJ33" s="318"/>
      <c r="EK33" s="315"/>
      <c r="EL33" s="635"/>
      <c r="EM33" s="189"/>
      <c r="EN33" s="636"/>
      <c r="EO33" s="637"/>
      <c r="EP33" s="638"/>
      <c r="EQ33" s="315"/>
      <c r="ER33" s="315"/>
      <c r="ES33" s="319"/>
      <c r="ET33" s="639">
        <f t="shared" si="1"/>
        <v>1</v>
      </c>
      <c r="EU33" s="640"/>
      <c r="EV33" s="640">
        <f t="shared" si="2"/>
        <v>0</v>
      </c>
      <c r="EW33" s="640"/>
      <c r="EX33" s="641">
        <f t="shared" si="3"/>
        <v>0</v>
      </c>
    </row>
    <row r="34" spans="1:154" s="363" customFormat="1" ht="20.100000000000001" customHeight="1" x14ac:dyDescent="0.2">
      <c r="A34" s="646" t="s">
        <v>357</v>
      </c>
      <c r="B34" s="578" t="s">
        <v>484</v>
      </c>
      <c r="C34" s="312"/>
      <c r="D34" s="313" t="s">
        <v>485</v>
      </c>
      <c r="E34" s="312"/>
      <c r="F34" s="580" t="s">
        <v>486</v>
      </c>
      <c r="G34" s="581"/>
      <c r="H34" s="582" t="s">
        <v>487</v>
      </c>
      <c r="I34" s="627"/>
      <c r="J34" s="314"/>
      <c r="K34" s="315"/>
      <c r="L34" s="628"/>
      <c r="M34" s="629"/>
      <c r="N34" s="316"/>
      <c r="O34" s="317"/>
      <c r="P34" s="318"/>
      <c r="Q34" s="301"/>
      <c r="R34" s="301"/>
      <c r="S34" s="315"/>
      <c r="T34" s="315"/>
      <c r="U34" s="315"/>
      <c r="V34" s="315"/>
      <c r="W34" s="315"/>
      <c r="X34" s="315"/>
      <c r="Y34" s="315"/>
      <c r="Z34" s="315"/>
      <c r="AA34" s="319"/>
      <c r="AB34" s="320"/>
      <c r="AC34" s="315"/>
      <c r="AD34" s="315"/>
      <c r="AE34" s="315"/>
      <c r="AF34" s="315"/>
      <c r="AG34" s="321"/>
      <c r="AH34" s="322" t="str">
        <f t="shared" si="6"/>
        <v/>
      </c>
      <c r="AI34" s="323" t="str">
        <f>IF(ISNUMBER(AH34),100*AH34/(#REF!),"")</f>
        <v/>
      </c>
      <c r="AJ34" s="321"/>
      <c r="AK34" s="315"/>
      <c r="AL34" s="315"/>
      <c r="AM34" s="324"/>
      <c r="AN34" s="325"/>
      <c r="AO34" s="321"/>
      <c r="AP34" s="315"/>
      <c r="AQ34" s="321"/>
      <c r="AR34" s="321"/>
      <c r="AS34" s="339"/>
      <c r="AT34" s="318"/>
      <c r="AU34" s="325"/>
      <c r="AV34" s="325"/>
      <c r="AW34" s="325"/>
      <c r="AX34" s="315"/>
      <c r="AY34" s="321"/>
      <c r="AZ34" s="315"/>
      <c r="BA34" s="315"/>
      <c r="BB34" s="321"/>
      <c r="BC34" s="159"/>
      <c r="BD34" s="326"/>
      <c r="BE34" s="315"/>
      <c r="BF34" s="319"/>
      <c r="BG34" s="320"/>
      <c r="BH34" s="321"/>
      <c r="BI34" s="323"/>
      <c r="BJ34" s="262"/>
      <c r="BK34" s="342"/>
      <c r="BL34" s="320"/>
      <c r="BM34" s="321"/>
      <c r="BN34" s="321"/>
      <c r="BO34" s="321"/>
      <c r="BP34" s="321"/>
      <c r="BQ34" s="327"/>
      <c r="BR34" s="318"/>
      <c r="BS34" s="328"/>
      <c r="BT34" s="329"/>
      <c r="BU34" s="631"/>
      <c r="BV34" s="318"/>
      <c r="BW34" s="315"/>
      <c r="BX34" s="315"/>
      <c r="BY34" s="315"/>
      <c r="BZ34" s="315"/>
      <c r="CA34" s="315"/>
      <c r="CB34" s="315"/>
      <c r="CC34" s="330"/>
      <c r="CD34" s="318"/>
      <c r="CE34" s="315"/>
      <c r="CF34" s="315"/>
      <c r="CG34" s="319"/>
      <c r="CH34" s="318"/>
      <c r="CI34" s="319"/>
      <c r="CJ34" s="326"/>
      <c r="CK34" s="315"/>
      <c r="CL34" s="315"/>
      <c r="CM34" s="319"/>
      <c r="CN34" s="326"/>
      <c r="CO34" s="315"/>
      <c r="CP34" s="315"/>
      <c r="CQ34" s="315"/>
      <c r="CR34" s="319"/>
      <c r="CS34" s="318"/>
      <c r="CT34" s="331"/>
      <c r="CU34" s="188"/>
      <c r="CV34" s="332"/>
      <c r="CW34" s="333"/>
      <c r="CX34" s="334"/>
      <c r="CY34" s="318"/>
      <c r="CZ34" s="643"/>
      <c r="DA34" s="335"/>
      <c r="DB34" s="189"/>
      <c r="DC34" s="336"/>
      <c r="DD34" s="323"/>
      <c r="DE34" s="319"/>
      <c r="DF34" s="318"/>
      <c r="DG34" s="643"/>
      <c r="DH34" s="315"/>
      <c r="DI34" s="632"/>
      <c r="DJ34" s="633"/>
      <c r="DK34" s="318"/>
      <c r="DL34" s="315"/>
      <c r="DM34" s="315"/>
      <c r="DN34" s="315"/>
      <c r="DO34" s="315"/>
      <c r="DP34" s="315"/>
      <c r="DQ34" s="330"/>
      <c r="DR34" s="318"/>
      <c r="DS34" s="319"/>
      <c r="DT34" s="318"/>
      <c r="DU34" s="315"/>
      <c r="DV34" s="635"/>
      <c r="DW34" s="318"/>
      <c r="DX34" s="315"/>
      <c r="DY34" s="319"/>
      <c r="DZ34" s="318"/>
      <c r="EA34" s="315"/>
      <c r="EB34" s="315"/>
      <c r="EC34" s="315"/>
      <c r="ED34" s="330"/>
      <c r="EE34" s="318"/>
      <c r="EF34" s="319"/>
      <c r="EG34" s="326"/>
      <c r="EH34" s="315"/>
      <c r="EI34" s="635"/>
      <c r="EJ34" s="318"/>
      <c r="EK34" s="315"/>
      <c r="EL34" s="635"/>
      <c r="EM34" s="189"/>
      <c r="EN34" s="636"/>
      <c r="EO34" s="637"/>
      <c r="EP34" s="638"/>
      <c r="EQ34" s="315"/>
      <c r="ER34" s="315"/>
      <c r="ES34" s="319"/>
      <c r="ET34" s="639">
        <f t="shared" si="1"/>
        <v>1</v>
      </c>
      <c r="EU34" s="640"/>
      <c r="EV34" s="640">
        <f t="shared" si="2"/>
        <v>0</v>
      </c>
      <c r="EW34" s="640"/>
      <c r="EX34" s="641">
        <f t="shared" si="3"/>
        <v>0</v>
      </c>
    </row>
    <row r="35" spans="1:154" s="363" customFormat="1" ht="20.100000000000001" customHeight="1" x14ac:dyDescent="0.2">
      <c r="A35" s="646" t="s">
        <v>358</v>
      </c>
      <c r="B35" s="578" t="s">
        <v>484</v>
      </c>
      <c r="C35" s="312"/>
      <c r="D35" s="313" t="s">
        <v>485</v>
      </c>
      <c r="E35" s="312"/>
      <c r="F35" s="580" t="s">
        <v>486</v>
      </c>
      <c r="G35" s="581"/>
      <c r="H35" s="582" t="s">
        <v>487</v>
      </c>
      <c r="I35" s="627"/>
      <c r="J35" s="314"/>
      <c r="K35" s="315"/>
      <c r="L35" s="628"/>
      <c r="M35" s="629"/>
      <c r="N35" s="316"/>
      <c r="O35" s="317"/>
      <c r="P35" s="318"/>
      <c r="Q35" s="301"/>
      <c r="R35" s="301"/>
      <c r="S35" s="315"/>
      <c r="T35" s="315"/>
      <c r="U35" s="315"/>
      <c r="V35" s="315"/>
      <c r="W35" s="315"/>
      <c r="X35" s="315"/>
      <c r="Y35" s="315"/>
      <c r="Z35" s="315"/>
      <c r="AA35" s="319"/>
      <c r="AB35" s="320"/>
      <c r="AC35" s="315"/>
      <c r="AD35" s="315"/>
      <c r="AE35" s="315"/>
      <c r="AF35" s="315"/>
      <c r="AG35" s="321"/>
      <c r="AH35" s="322" t="str">
        <f t="shared" si="6"/>
        <v/>
      </c>
      <c r="AI35" s="323" t="str">
        <f>IF(ISNUMBER(AH35),100*AH35/(#REF!),"")</f>
        <v/>
      </c>
      <c r="AJ35" s="321"/>
      <c r="AK35" s="315"/>
      <c r="AL35" s="315"/>
      <c r="AM35" s="324"/>
      <c r="AN35" s="325"/>
      <c r="AO35" s="321"/>
      <c r="AP35" s="315"/>
      <c r="AQ35" s="321"/>
      <c r="AR35" s="321"/>
      <c r="AS35" s="339"/>
      <c r="AT35" s="318"/>
      <c r="AU35" s="325"/>
      <c r="AV35" s="325"/>
      <c r="AW35" s="325"/>
      <c r="AX35" s="315"/>
      <c r="AY35" s="321"/>
      <c r="AZ35" s="315"/>
      <c r="BA35" s="315"/>
      <c r="BB35" s="321"/>
      <c r="BC35" s="159"/>
      <c r="BD35" s="326"/>
      <c r="BE35" s="315"/>
      <c r="BF35" s="319"/>
      <c r="BG35" s="320"/>
      <c r="BH35" s="321"/>
      <c r="BI35" s="323"/>
      <c r="BJ35" s="262"/>
      <c r="BK35" s="342"/>
      <c r="BL35" s="320"/>
      <c r="BM35" s="321"/>
      <c r="BN35" s="321"/>
      <c r="BO35" s="321"/>
      <c r="BP35" s="321"/>
      <c r="BQ35" s="327"/>
      <c r="BR35" s="318"/>
      <c r="BS35" s="328"/>
      <c r="BT35" s="329"/>
      <c r="BU35" s="631"/>
      <c r="BV35" s="318"/>
      <c r="BW35" s="315"/>
      <c r="BX35" s="315"/>
      <c r="BY35" s="315"/>
      <c r="BZ35" s="315"/>
      <c r="CA35" s="315"/>
      <c r="CB35" s="315"/>
      <c r="CC35" s="330"/>
      <c r="CD35" s="318"/>
      <c r="CE35" s="315"/>
      <c r="CF35" s="315"/>
      <c r="CG35" s="319"/>
      <c r="CH35" s="318"/>
      <c r="CI35" s="319"/>
      <c r="CJ35" s="326"/>
      <c r="CK35" s="315"/>
      <c r="CL35" s="315"/>
      <c r="CM35" s="319"/>
      <c r="CN35" s="326"/>
      <c r="CO35" s="315"/>
      <c r="CP35" s="315"/>
      <c r="CQ35" s="315"/>
      <c r="CR35" s="319"/>
      <c r="CS35" s="318"/>
      <c r="CT35" s="331"/>
      <c r="CU35" s="188"/>
      <c r="CV35" s="332"/>
      <c r="CW35" s="333"/>
      <c r="CX35" s="334"/>
      <c r="CY35" s="318"/>
      <c r="CZ35" s="643"/>
      <c r="DA35" s="335"/>
      <c r="DB35" s="189"/>
      <c r="DC35" s="336"/>
      <c r="DD35" s="323"/>
      <c r="DE35" s="319"/>
      <c r="DF35" s="318"/>
      <c r="DG35" s="643"/>
      <c r="DH35" s="315"/>
      <c r="DI35" s="632"/>
      <c r="DJ35" s="633"/>
      <c r="DK35" s="318"/>
      <c r="DL35" s="315"/>
      <c r="DM35" s="315"/>
      <c r="DN35" s="315"/>
      <c r="DO35" s="315"/>
      <c r="DP35" s="315"/>
      <c r="DQ35" s="330"/>
      <c r="DR35" s="318"/>
      <c r="DS35" s="319"/>
      <c r="DT35" s="318"/>
      <c r="DU35" s="315"/>
      <c r="DV35" s="635"/>
      <c r="DW35" s="318"/>
      <c r="DX35" s="315"/>
      <c r="DY35" s="319"/>
      <c r="DZ35" s="318"/>
      <c r="EA35" s="315"/>
      <c r="EB35" s="315"/>
      <c r="EC35" s="315"/>
      <c r="ED35" s="330"/>
      <c r="EE35" s="318"/>
      <c r="EF35" s="319"/>
      <c r="EG35" s="326"/>
      <c r="EH35" s="315"/>
      <c r="EI35" s="635"/>
      <c r="EJ35" s="318"/>
      <c r="EK35" s="315"/>
      <c r="EL35" s="635"/>
      <c r="EM35" s="189"/>
      <c r="EN35" s="636"/>
      <c r="EO35" s="637"/>
      <c r="EP35" s="638"/>
      <c r="EQ35" s="315"/>
      <c r="ER35" s="315"/>
      <c r="ES35" s="319"/>
      <c r="ET35" s="639">
        <f t="shared" si="1"/>
        <v>1</v>
      </c>
      <c r="EU35" s="640"/>
      <c r="EV35" s="640">
        <f t="shared" si="2"/>
        <v>0</v>
      </c>
      <c r="EW35" s="640"/>
      <c r="EX35" s="641">
        <f t="shared" si="3"/>
        <v>0</v>
      </c>
    </row>
    <row r="36" spans="1:154" s="363" customFormat="1" ht="20.100000000000001" customHeight="1" x14ac:dyDescent="0.2">
      <c r="A36" s="646" t="s">
        <v>359</v>
      </c>
      <c r="B36" s="578" t="s">
        <v>484</v>
      </c>
      <c r="C36" s="312"/>
      <c r="D36" s="313" t="s">
        <v>485</v>
      </c>
      <c r="E36" s="312"/>
      <c r="F36" s="580" t="s">
        <v>486</v>
      </c>
      <c r="G36" s="581"/>
      <c r="H36" s="582" t="s">
        <v>487</v>
      </c>
      <c r="I36" s="627"/>
      <c r="J36" s="314"/>
      <c r="K36" s="315"/>
      <c r="L36" s="628"/>
      <c r="M36" s="629"/>
      <c r="N36" s="316"/>
      <c r="O36" s="317"/>
      <c r="P36" s="318"/>
      <c r="Q36" s="301"/>
      <c r="R36" s="301"/>
      <c r="S36" s="315"/>
      <c r="T36" s="315"/>
      <c r="U36" s="315"/>
      <c r="V36" s="315"/>
      <c r="W36" s="315"/>
      <c r="X36" s="315"/>
      <c r="Y36" s="315"/>
      <c r="Z36" s="315"/>
      <c r="AA36" s="319"/>
      <c r="AB36" s="320"/>
      <c r="AC36" s="315"/>
      <c r="AD36" s="315"/>
      <c r="AE36" s="315"/>
      <c r="AF36" s="315"/>
      <c r="AG36" s="321"/>
      <c r="AH36" s="322" t="str">
        <f t="shared" si="6"/>
        <v/>
      </c>
      <c r="AI36" s="323" t="str">
        <f>IF(ISNUMBER(AH36),100*AH36/(#REF!),"")</f>
        <v/>
      </c>
      <c r="AJ36" s="321"/>
      <c r="AK36" s="315"/>
      <c r="AL36" s="315"/>
      <c r="AM36" s="324"/>
      <c r="AN36" s="325"/>
      <c r="AO36" s="321"/>
      <c r="AP36" s="315"/>
      <c r="AQ36" s="321"/>
      <c r="AR36" s="321"/>
      <c r="AS36" s="339"/>
      <c r="AT36" s="318"/>
      <c r="AU36" s="325"/>
      <c r="AV36" s="325"/>
      <c r="AW36" s="325"/>
      <c r="AX36" s="315"/>
      <c r="AY36" s="321"/>
      <c r="AZ36" s="315"/>
      <c r="BA36" s="315"/>
      <c r="BB36" s="321"/>
      <c r="BC36" s="159"/>
      <c r="BD36" s="326"/>
      <c r="BE36" s="315"/>
      <c r="BF36" s="319"/>
      <c r="BG36" s="320"/>
      <c r="BH36" s="321"/>
      <c r="BI36" s="323"/>
      <c r="BJ36" s="262"/>
      <c r="BK36" s="342"/>
      <c r="BL36" s="320"/>
      <c r="BM36" s="321"/>
      <c r="BN36" s="321"/>
      <c r="BO36" s="321"/>
      <c r="BP36" s="321"/>
      <c r="BQ36" s="327"/>
      <c r="BR36" s="318"/>
      <c r="BS36" s="328"/>
      <c r="BT36" s="329"/>
      <c r="BU36" s="631"/>
      <c r="BV36" s="318"/>
      <c r="BW36" s="315"/>
      <c r="BX36" s="315"/>
      <c r="BY36" s="315"/>
      <c r="BZ36" s="315"/>
      <c r="CA36" s="315"/>
      <c r="CB36" s="315"/>
      <c r="CC36" s="330"/>
      <c r="CD36" s="318"/>
      <c r="CE36" s="315"/>
      <c r="CF36" s="315"/>
      <c r="CG36" s="319"/>
      <c r="CH36" s="318"/>
      <c r="CI36" s="319"/>
      <c r="CJ36" s="326"/>
      <c r="CK36" s="315"/>
      <c r="CL36" s="315"/>
      <c r="CM36" s="319"/>
      <c r="CN36" s="326"/>
      <c r="CO36" s="315"/>
      <c r="CP36" s="315"/>
      <c r="CQ36" s="315"/>
      <c r="CR36" s="319"/>
      <c r="CS36" s="318"/>
      <c r="CT36" s="331"/>
      <c r="CU36" s="188"/>
      <c r="CV36" s="332"/>
      <c r="CW36" s="333"/>
      <c r="CX36" s="334"/>
      <c r="CY36" s="318"/>
      <c r="CZ36" s="643"/>
      <c r="DA36" s="335"/>
      <c r="DB36" s="189"/>
      <c r="DC36" s="336"/>
      <c r="DD36" s="323"/>
      <c r="DE36" s="319"/>
      <c r="DF36" s="318"/>
      <c r="DG36" s="643"/>
      <c r="DH36" s="315"/>
      <c r="DI36" s="632"/>
      <c r="DJ36" s="633"/>
      <c r="DK36" s="318"/>
      <c r="DL36" s="315"/>
      <c r="DM36" s="315"/>
      <c r="DN36" s="315"/>
      <c r="DO36" s="315"/>
      <c r="DP36" s="315"/>
      <c r="DQ36" s="330"/>
      <c r="DR36" s="318"/>
      <c r="DS36" s="319"/>
      <c r="DT36" s="318"/>
      <c r="DU36" s="315"/>
      <c r="DV36" s="635"/>
      <c r="DW36" s="318"/>
      <c r="DX36" s="315"/>
      <c r="DY36" s="319"/>
      <c r="DZ36" s="318"/>
      <c r="EA36" s="315"/>
      <c r="EB36" s="315"/>
      <c r="EC36" s="315"/>
      <c r="ED36" s="330"/>
      <c r="EE36" s="318"/>
      <c r="EF36" s="319"/>
      <c r="EG36" s="326"/>
      <c r="EH36" s="315"/>
      <c r="EI36" s="635"/>
      <c r="EJ36" s="318"/>
      <c r="EK36" s="315"/>
      <c r="EL36" s="635"/>
      <c r="EM36" s="189"/>
      <c r="EN36" s="636"/>
      <c r="EO36" s="637"/>
      <c r="EP36" s="638"/>
      <c r="EQ36" s="315"/>
      <c r="ER36" s="315"/>
      <c r="ES36" s="319"/>
      <c r="ET36" s="639">
        <f t="shared" si="1"/>
        <v>1</v>
      </c>
      <c r="EU36" s="640"/>
      <c r="EV36" s="640">
        <f t="shared" si="2"/>
        <v>0</v>
      </c>
      <c r="EW36" s="640"/>
      <c r="EX36" s="641">
        <f t="shared" si="3"/>
        <v>0</v>
      </c>
    </row>
    <row r="37" spans="1:154" s="363" customFormat="1" ht="20.100000000000001" customHeight="1" x14ac:dyDescent="0.2">
      <c r="A37" s="646" t="s">
        <v>360</v>
      </c>
      <c r="B37" s="578" t="s">
        <v>484</v>
      </c>
      <c r="C37" s="312"/>
      <c r="D37" s="313" t="s">
        <v>485</v>
      </c>
      <c r="E37" s="312"/>
      <c r="F37" s="580" t="s">
        <v>486</v>
      </c>
      <c r="G37" s="581"/>
      <c r="H37" s="582" t="s">
        <v>487</v>
      </c>
      <c r="I37" s="627"/>
      <c r="J37" s="314"/>
      <c r="K37" s="315"/>
      <c r="L37" s="628"/>
      <c r="M37" s="629"/>
      <c r="N37" s="316"/>
      <c r="O37" s="317"/>
      <c r="P37" s="318"/>
      <c r="Q37" s="301"/>
      <c r="R37" s="301"/>
      <c r="S37" s="315"/>
      <c r="T37" s="315"/>
      <c r="U37" s="315"/>
      <c r="V37" s="315"/>
      <c r="W37" s="315"/>
      <c r="X37" s="315"/>
      <c r="Y37" s="315"/>
      <c r="Z37" s="315"/>
      <c r="AA37" s="319"/>
      <c r="AB37" s="320"/>
      <c r="AC37" s="315"/>
      <c r="AD37" s="315"/>
      <c r="AE37" s="315"/>
      <c r="AF37" s="315"/>
      <c r="AG37" s="321"/>
      <c r="AH37" s="322" t="str">
        <f t="shared" si="6"/>
        <v/>
      </c>
      <c r="AI37" s="323" t="str">
        <f>IF(ISNUMBER(AH37),100*AH37/(#REF!),"")</f>
        <v/>
      </c>
      <c r="AJ37" s="321"/>
      <c r="AK37" s="315"/>
      <c r="AL37" s="315"/>
      <c r="AM37" s="324"/>
      <c r="AN37" s="325"/>
      <c r="AO37" s="321"/>
      <c r="AP37" s="315"/>
      <c r="AQ37" s="321"/>
      <c r="AR37" s="321"/>
      <c r="AS37" s="642"/>
      <c r="AT37" s="318"/>
      <c r="AU37" s="325"/>
      <c r="AV37" s="325"/>
      <c r="AW37" s="325"/>
      <c r="AX37" s="315"/>
      <c r="AY37" s="321"/>
      <c r="AZ37" s="315"/>
      <c r="BA37" s="315"/>
      <c r="BB37" s="321"/>
      <c r="BC37" s="159"/>
      <c r="BD37" s="326"/>
      <c r="BE37" s="315"/>
      <c r="BF37" s="319"/>
      <c r="BG37" s="320"/>
      <c r="BH37" s="321"/>
      <c r="BI37" s="323"/>
      <c r="BJ37" s="262"/>
      <c r="BK37" s="342"/>
      <c r="BL37" s="320"/>
      <c r="BM37" s="321"/>
      <c r="BN37" s="321"/>
      <c r="BO37" s="321"/>
      <c r="BP37" s="321"/>
      <c r="BQ37" s="327"/>
      <c r="BR37" s="318"/>
      <c r="BS37" s="328"/>
      <c r="BT37" s="329"/>
      <c r="BU37" s="631"/>
      <c r="BV37" s="318"/>
      <c r="BW37" s="315"/>
      <c r="BX37" s="315"/>
      <c r="BY37" s="315"/>
      <c r="BZ37" s="315"/>
      <c r="CA37" s="315"/>
      <c r="CB37" s="315"/>
      <c r="CC37" s="330"/>
      <c r="CD37" s="318"/>
      <c r="CE37" s="315"/>
      <c r="CF37" s="315"/>
      <c r="CG37" s="319"/>
      <c r="CH37" s="318"/>
      <c r="CI37" s="319"/>
      <c r="CJ37" s="326"/>
      <c r="CK37" s="315"/>
      <c r="CL37" s="315"/>
      <c r="CM37" s="319"/>
      <c r="CN37" s="326"/>
      <c r="CO37" s="315"/>
      <c r="CP37" s="315"/>
      <c r="CQ37" s="315"/>
      <c r="CR37" s="319"/>
      <c r="CS37" s="318"/>
      <c r="CT37" s="331"/>
      <c r="CU37" s="188"/>
      <c r="CV37" s="332"/>
      <c r="CW37" s="333"/>
      <c r="CX37" s="334"/>
      <c r="CY37" s="318"/>
      <c r="CZ37" s="643"/>
      <c r="DA37" s="335"/>
      <c r="DB37" s="189"/>
      <c r="DC37" s="336"/>
      <c r="DD37" s="323"/>
      <c r="DE37" s="319"/>
      <c r="DF37" s="318"/>
      <c r="DG37" s="643"/>
      <c r="DH37" s="315"/>
      <c r="DI37" s="632"/>
      <c r="DJ37" s="633"/>
      <c r="DK37" s="318"/>
      <c r="DL37" s="315"/>
      <c r="DM37" s="315"/>
      <c r="DN37" s="315"/>
      <c r="DO37" s="315"/>
      <c r="DP37" s="315"/>
      <c r="DQ37" s="330"/>
      <c r="DR37" s="318"/>
      <c r="DS37" s="319"/>
      <c r="DT37" s="318"/>
      <c r="DU37" s="315"/>
      <c r="DV37" s="635"/>
      <c r="DW37" s="318"/>
      <c r="DX37" s="315"/>
      <c r="DY37" s="319"/>
      <c r="DZ37" s="318"/>
      <c r="EA37" s="315"/>
      <c r="EB37" s="315"/>
      <c r="EC37" s="315"/>
      <c r="ED37" s="330"/>
      <c r="EE37" s="318"/>
      <c r="EF37" s="319"/>
      <c r="EG37" s="326"/>
      <c r="EH37" s="315"/>
      <c r="EI37" s="635"/>
      <c r="EJ37" s="318"/>
      <c r="EK37" s="315"/>
      <c r="EL37" s="635"/>
      <c r="EM37" s="189"/>
      <c r="EN37" s="636"/>
      <c r="EO37" s="637"/>
      <c r="EP37" s="638"/>
      <c r="EQ37" s="315"/>
      <c r="ER37" s="315"/>
      <c r="ES37" s="319"/>
      <c r="ET37" s="639">
        <f t="shared" si="1"/>
        <v>1</v>
      </c>
      <c r="EU37" s="640"/>
      <c r="EV37" s="640">
        <f t="shared" si="2"/>
        <v>0</v>
      </c>
      <c r="EW37" s="640"/>
      <c r="EX37" s="641">
        <f t="shared" si="3"/>
        <v>0</v>
      </c>
    </row>
    <row r="38" spans="1:154" s="363" customFormat="1" ht="20.100000000000001" customHeight="1" x14ac:dyDescent="0.2">
      <c r="A38" s="646" t="s">
        <v>361</v>
      </c>
      <c r="B38" s="578" t="s">
        <v>484</v>
      </c>
      <c r="C38" s="312"/>
      <c r="D38" s="313" t="s">
        <v>485</v>
      </c>
      <c r="E38" s="312"/>
      <c r="F38" s="580" t="s">
        <v>486</v>
      </c>
      <c r="G38" s="581"/>
      <c r="H38" s="582" t="s">
        <v>487</v>
      </c>
      <c r="I38" s="627"/>
      <c r="J38" s="314"/>
      <c r="K38" s="315"/>
      <c r="L38" s="628"/>
      <c r="M38" s="629"/>
      <c r="N38" s="316"/>
      <c r="O38" s="317"/>
      <c r="P38" s="318"/>
      <c r="Q38" s="301"/>
      <c r="R38" s="301"/>
      <c r="S38" s="315"/>
      <c r="T38" s="315"/>
      <c r="U38" s="315"/>
      <c r="V38" s="315"/>
      <c r="W38" s="315"/>
      <c r="X38" s="315"/>
      <c r="Y38" s="315"/>
      <c r="Z38" s="315"/>
      <c r="AA38" s="319"/>
      <c r="AB38" s="320"/>
      <c r="AC38" s="315"/>
      <c r="AD38" s="315"/>
      <c r="AE38" s="315"/>
      <c r="AF38" s="315"/>
      <c r="AG38" s="321"/>
      <c r="AH38" s="322" t="str">
        <f t="shared" si="6"/>
        <v/>
      </c>
      <c r="AI38" s="323" t="str">
        <f>IF(ISNUMBER(AH38),100*AH38/(#REF!),"")</f>
        <v/>
      </c>
      <c r="AJ38" s="321"/>
      <c r="AK38" s="315"/>
      <c r="AL38" s="315"/>
      <c r="AM38" s="324"/>
      <c r="AN38" s="325"/>
      <c r="AO38" s="321"/>
      <c r="AP38" s="315"/>
      <c r="AQ38" s="321"/>
      <c r="AR38" s="321"/>
      <c r="AS38" s="642"/>
      <c r="AT38" s="318"/>
      <c r="AU38" s="325"/>
      <c r="AV38" s="325"/>
      <c r="AW38" s="325"/>
      <c r="AX38" s="315"/>
      <c r="AY38" s="321"/>
      <c r="AZ38" s="315"/>
      <c r="BA38" s="315"/>
      <c r="BB38" s="321"/>
      <c r="BC38" s="159"/>
      <c r="BD38" s="326"/>
      <c r="BE38" s="315"/>
      <c r="BF38" s="319"/>
      <c r="BG38" s="320"/>
      <c r="BH38" s="321"/>
      <c r="BI38" s="323"/>
      <c r="BJ38" s="262"/>
      <c r="BK38" s="342"/>
      <c r="BL38" s="320"/>
      <c r="BM38" s="321"/>
      <c r="BN38" s="321"/>
      <c r="BO38" s="321"/>
      <c r="BP38" s="321"/>
      <c r="BQ38" s="327"/>
      <c r="BR38" s="318"/>
      <c r="BS38" s="328"/>
      <c r="BT38" s="329"/>
      <c r="BU38" s="631"/>
      <c r="BV38" s="318"/>
      <c r="BW38" s="315"/>
      <c r="BX38" s="315"/>
      <c r="BY38" s="315"/>
      <c r="BZ38" s="315"/>
      <c r="CA38" s="315"/>
      <c r="CB38" s="315"/>
      <c r="CC38" s="330"/>
      <c r="CD38" s="318"/>
      <c r="CE38" s="315"/>
      <c r="CF38" s="315"/>
      <c r="CG38" s="319"/>
      <c r="CH38" s="318"/>
      <c r="CI38" s="319"/>
      <c r="CJ38" s="326"/>
      <c r="CK38" s="315"/>
      <c r="CL38" s="315"/>
      <c r="CM38" s="319"/>
      <c r="CN38" s="326"/>
      <c r="CO38" s="315"/>
      <c r="CP38" s="315"/>
      <c r="CQ38" s="315"/>
      <c r="CR38" s="319"/>
      <c r="CS38" s="318"/>
      <c r="CT38" s="331"/>
      <c r="CU38" s="188"/>
      <c r="CV38" s="332"/>
      <c r="CW38" s="333"/>
      <c r="CX38" s="334"/>
      <c r="CY38" s="318"/>
      <c r="CZ38" s="643"/>
      <c r="DA38" s="335"/>
      <c r="DB38" s="189"/>
      <c r="DC38" s="336"/>
      <c r="DD38" s="323"/>
      <c r="DE38" s="319"/>
      <c r="DF38" s="318"/>
      <c r="DG38" s="643"/>
      <c r="DH38" s="315"/>
      <c r="DI38" s="632"/>
      <c r="DJ38" s="633"/>
      <c r="DK38" s="318"/>
      <c r="DL38" s="315"/>
      <c r="DM38" s="315"/>
      <c r="DN38" s="315"/>
      <c r="DO38" s="315"/>
      <c r="DP38" s="315"/>
      <c r="DQ38" s="330"/>
      <c r="DR38" s="318"/>
      <c r="DS38" s="319"/>
      <c r="DT38" s="318"/>
      <c r="DU38" s="315"/>
      <c r="DV38" s="635"/>
      <c r="DW38" s="318"/>
      <c r="DX38" s="315"/>
      <c r="DY38" s="319"/>
      <c r="DZ38" s="318"/>
      <c r="EA38" s="315"/>
      <c r="EB38" s="315"/>
      <c r="EC38" s="315"/>
      <c r="ED38" s="330"/>
      <c r="EE38" s="318"/>
      <c r="EF38" s="319"/>
      <c r="EG38" s="326"/>
      <c r="EH38" s="315"/>
      <c r="EI38" s="635"/>
      <c r="EJ38" s="318"/>
      <c r="EK38" s="315"/>
      <c r="EL38" s="635"/>
      <c r="EM38" s="189"/>
      <c r="EN38" s="636"/>
      <c r="EO38" s="637"/>
      <c r="EP38" s="638"/>
      <c r="EQ38" s="315"/>
      <c r="ER38" s="315"/>
      <c r="ES38" s="319"/>
      <c r="ET38" s="639">
        <f t="shared" si="1"/>
        <v>1</v>
      </c>
      <c r="EU38" s="640"/>
      <c r="EV38" s="640">
        <f t="shared" si="2"/>
        <v>0</v>
      </c>
      <c r="EW38" s="640"/>
      <c r="EX38" s="641">
        <f t="shared" si="3"/>
        <v>0</v>
      </c>
    </row>
    <row r="39" spans="1:154" s="363" customFormat="1" ht="20.100000000000001" customHeight="1" x14ac:dyDescent="0.2">
      <c r="A39" s="646" t="s">
        <v>362</v>
      </c>
      <c r="B39" s="578" t="s">
        <v>484</v>
      </c>
      <c r="C39" s="312"/>
      <c r="D39" s="313" t="s">
        <v>485</v>
      </c>
      <c r="E39" s="312"/>
      <c r="F39" s="580" t="s">
        <v>486</v>
      </c>
      <c r="G39" s="581"/>
      <c r="H39" s="582" t="s">
        <v>487</v>
      </c>
      <c r="I39" s="627"/>
      <c r="J39" s="314"/>
      <c r="K39" s="315"/>
      <c r="L39" s="628"/>
      <c r="M39" s="629"/>
      <c r="N39" s="316"/>
      <c r="O39" s="317"/>
      <c r="P39" s="318"/>
      <c r="Q39" s="301"/>
      <c r="R39" s="301"/>
      <c r="S39" s="315"/>
      <c r="T39" s="315"/>
      <c r="U39" s="315"/>
      <c r="V39" s="315"/>
      <c r="W39" s="315"/>
      <c r="X39" s="315"/>
      <c r="Y39" s="315"/>
      <c r="Z39" s="315"/>
      <c r="AA39" s="319"/>
      <c r="AB39" s="320"/>
      <c r="AC39" s="315"/>
      <c r="AD39" s="315"/>
      <c r="AE39" s="315"/>
      <c r="AF39" s="315"/>
      <c r="AG39" s="321"/>
      <c r="AH39" s="322" t="str">
        <f t="shared" si="6"/>
        <v/>
      </c>
      <c r="AI39" s="323" t="str">
        <f>IF(ISNUMBER(AH39),100*AH39/(#REF!),"")</f>
        <v/>
      </c>
      <c r="AJ39" s="321"/>
      <c r="AK39" s="315"/>
      <c r="AL39" s="315"/>
      <c r="AM39" s="324"/>
      <c r="AN39" s="325"/>
      <c r="AO39" s="321"/>
      <c r="AP39" s="315"/>
      <c r="AQ39" s="321"/>
      <c r="AR39" s="321"/>
      <c r="AS39" s="642"/>
      <c r="AT39" s="318"/>
      <c r="AU39" s="325"/>
      <c r="AV39" s="325"/>
      <c r="AW39" s="325"/>
      <c r="AX39" s="315"/>
      <c r="AY39" s="321"/>
      <c r="AZ39" s="315"/>
      <c r="BA39" s="315"/>
      <c r="BB39" s="321"/>
      <c r="BC39" s="159"/>
      <c r="BD39" s="326"/>
      <c r="BE39" s="315"/>
      <c r="BF39" s="319"/>
      <c r="BG39" s="320"/>
      <c r="BH39" s="321"/>
      <c r="BI39" s="323"/>
      <c r="BJ39" s="262"/>
      <c r="BK39" s="342"/>
      <c r="BL39" s="320"/>
      <c r="BM39" s="321"/>
      <c r="BN39" s="321"/>
      <c r="BO39" s="321"/>
      <c r="BP39" s="321"/>
      <c r="BQ39" s="327"/>
      <c r="BR39" s="318"/>
      <c r="BS39" s="328"/>
      <c r="BT39" s="329"/>
      <c r="BU39" s="631"/>
      <c r="BV39" s="318"/>
      <c r="BW39" s="315"/>
      <c r="BX39" s="315"/>
      <c r="BY39" s="315"/>
      <c r="BZ39" s="315"/>
      <c r="CA39" s="315"/>
      <c r="CB39" s="315"/>
      <c r="CC39" s="330"/>
      <c r="CD39" s="318"/>
      <c r="CE39" s="315"/>
      <c r="CF39" s="315"/>
      <c r="CG39" s="319"/>
      <c r="CH39" s="318"/>
      <c r="CI39" s="319"/>
      <c r="CJ39" s="326"/>
      <c r="CK39" s="315"/>
      <c r="CL39" s="315"/>
      <c r="CM39" s="319"/>
      <c r="CN39" s="326"/>
      <c r="CO39" s="315"/>
      <c r="CP39" s="315"/>
      <c r="CQ39" s="315"/>
      <c r="CR39" s="319"/>
      <c r="CS39" s="318"/>
      <c r="CT39" s="331"/>
      <c r="CU39" s="188"/>
      <c r="CV39" s="332"/>
      <c r="CW39" s="333"/>
      <c r="CX39" s="334"/>
      <c r="CY39" s="318"/>
      <c r="CZ39" s="643"/>
      <c r="DA39" s="335"/>
      <c r="DB39" s="189"/>
      <c r="DC39" s="336"/>
      <c r="DD39" s="323"/>
      <c r="DE39" s="319"/>
      <c r="DF39" s="318"/>
      <c r="DG39" s="643"/>
      <c r="DH39" s="315"/>
      <c r="DI39" s="632"/>
      <c r="DJ39" s="633"/>
      <c r="DK39" s="318"/>
      <c r="DL39" s="315"/>
      <c r="DM39" s="315"/>
      <c r="DN39" s="315"/>
      <c r="DO39" s="315"/>
      <c r="DP39" s="315"/>
      <c r="DQ39" s="330"/>
      <c r="DR39" s="318"/>
      <c r="DS39" s="319"/>
      <c r="DT39" s="318"/>
      <c r="DU39" s="315"/>
      <c r="DV39" s="635"/>
      <c r="DW39" s="318"/>
      <c r="DX39" s="315"/>
      <c r="DY39" s="319"/>
      <c r="DZ39" s="318"/>
      <c r="EA39" s="315"/>
      <c r="EB39" s="315"/>
      <c r="EC39" s="315"/>
      <c r="ED39" s="330"/>
      <c r="EE39" s="318"/>
      <c r="EF39" s="319"/>
      <c r="EG39" s="326"/>
      <c r="EH39" s="315"/>
      <c r="EI39" s="635"/>
      <c r="EJ39" s="318"/>
      <c r="EK39" s="315"/>
      <c r="EL39" s="635"/>
      <c r="EM39" s="189"/>
      <c r="EN39" s="636"/>
      <c r="EO39" s="637"/>
      <c r="EP39" s="638"/>
      <c r="EQ39" s="315"/>
      <c r="ER39" s="315"/>
      <c r="ES39" s="319"/>
      <c r="ET39" s="639">
        <f t="shared" si="1"/>
        <v>1</v>
      </c>
      <c r="EU39" s="640"/>
      <c r="EV39" s="640">
        <f t="shared" si="2"/>
        <v>0</v>
      </c>
      <c r="EW39" s="640"/>
      <c r="EX39" s="641">
        <f t="shared" si="3"/>
        <v>0</v>
      </c>
    </row>
    <row r="40" spans="1:154" s="363" customFormat="1" ht="20.100000000000001" customHeight="1" x14ac:dyDescent="0.2">
      <c r="A40" s="646" t="s">
        <v>363</v>
      </c>
      <c r="B40" s="578" t="s">
        <v>484</v>
      </c>
      <c r="C40" s="312"/>
      <c r="D40" s="313" t="s">
        <v>485</v>
      </c>
      <c r="E40" s="312"/>
      <c r="F40" s="580" t="s">
        <v>486</v>
      </c>
      <c r="G40" s="581"/>
      <c r="H40" s="582" t="s">
        <v>487</v>
      </c>
      <c r="I40" s="627"/>
      <c r="J40" s="314"/>
      <c r="K40" s="315"/>
      <c r="L40" s="628"/>
      <c r="M40" s="629"/>
      <c r="N40" s="316"/>
      <c r="O40" s="317"/>
      <c r="P40" s="318"/>
      <c r="Q40" s="301"/>
      <c r="R40" s="301"/>
      <c r="S40" s="315"/>
      <c r="T40" s="315"/>
      <c r="U40" s="315"/>
      <c r="V40" s="315"/>
      <c r="W40" s="315"/>
      <c r="X40" s="315"/>
      <c r="Y40" s="315"/>
      <c r="Z40" s="315"/>
      <c r="AA40" s="319"/>
      <c r="AB40" s="320"/>
      <c r="AC40" s="315"/>
      <c r="AD40" s="315"/>
      <c r="AE40" s="315"/>
      <c r="AF40" s="315"/>
      <c r="AG40" s="321"/>
      <c r="AH40" s="322" t="str">
        <f t="shared" si="6"/>
        <v/>
      </c>
      <c r="AI40" s="323" t="str">
        <f>IF(ISNUMBER(AH40),100*AH40/(#REF!),"")</f>
        <v/>
      </c>
      <c r="AJ40" s="321"/>
      <c r="AK40" s="315"/>
      <c r="AL40" s="315"/>
      <c r="AM40" s="324"/>
      <c r="AN40" s="325"/>
      <c r="AO40" s="321"/>
      <c r="AP40" s="315"/>
      <c r="AQ40" s="321"/>
      <c r="AR40" s="321"/>
      <c r="AS40" s="642"/>
      <c r="AT40" s="318"/>
      <c r="AU40" s="325"/>
      <c r="AV40" s="325"/>
      <c r="AW40" s="325"/>
      <c r="AX40" s="315"/>
      <c r="AY40" s="321"/>
      <c r="AZ40" s="315"/>
      <c r="BA40" s="315"/>
      <c r="BB40" s="321"/>
      <c r="BC40" s="159"/>
      <c r="BD40" s="326"/>
      <c r="BE40" s="315"/>
      <c r="BF40" s="319"/>
      <c r="BG40" s="320"/>
      <c r="BH40" s="321"/>
      <c r="BI40" s="323"/>
      <c r="BJ40" s="262"/>
      <c r="BK40" s="342"/>
      <c r="BL40" s="320"/>
      <c r="BM40" s="321"/>
      <c r="BN40" s="321"/>
      <c r="BO40" s="321"/>
      <c r="BP40" s="321"/>
      <c r="BQ40" s="327"/>
      <c r="BR40" s="318"/>
      <c r="BS40" s="328"/>
      <c r="BT40" s="329"/>
      <c r="BU40" s="631"/>
      <c r="BV40" s="318"/>
      <c r="BW40" s="315"/>
      <c r="BX40" s="315"/>
      <c r="BY40" s="315"/>
      <c r="BZ40" s="315"/>
      <c r="CA40" s="315"/>
      <c r="CB40" s="315"/>
      <c r="CC40" s="330"/>
      <c r="CD40" s="318"/>
      <c r="CE40" s="315"/>
      <c r="CF40" s="315"/>
      <c r="CG40" s="319"/>
      <c r="CH40" s="318"/>
      <c r="CI40" s="319"/>
      <c r="CJ40" s="326"/>
      <c r="CK40" s="315"/>
      <c r="CL40" s="315"/>
      <c r="CM40" s="319"/>
      <c r="CN40" s="326"/>
      <c r="CO40" s="315"/>
      <c r="CP40" s="315"/>
      <c r="CQ40" s="315"/>
      <c r="CR40" s="319"/>
      <c r="CS40" s="318"/>
      <c r="CT40" s="331"/>
      <c r="CU40" s="188"/>
      <c r="CV40" s="332"/>
      <c r="CW40" s="333"/>
      <c r="CX40" s="334"/>
      <c r="CY40" s="318"/>
      <c r="CZ40" s="643"/>
      <c r="DA40" s="335"/>
      <c r="DB40" s="189"/>
      <c r="DC40" s="336"/>
      <c r="DD40" s="323"/>
      <c r="DE40" s="319"/>
      <c r="DF40" s="318"/>
      <c r="DG40" s="643"/>
      <c r="DH40" s="315"/>
      <c r="DI40" s="632"/>
      <c r="DJ40" s="633"/>
      <c r="DK40" s="318"/>
      <c r="DL40" s="315"/>
      <c r="DM40" s="315"/>
      <c r="DN40" s="315"/>
      <c r="DO40" s="315"/>
      <c r="DP40" s="315"/>
      <c r="DQ40" s="330"/>
      <c r="DR40" s="318"/>
      <c r="DS40" s="319"/>
      <c r="DT40" s="318"/>
      <c r="DU40" s="315"/>
      <c r="DV40" s="635"/>
      <c r="DW40" s="318"/>
      <c r="DX40" s="315"/>
      <c r="DY40" s="319"/>
      <c r="DZ40" s="318"/>
      <c r="EA40" s="315"/>
      <c r="EB40" s="315"/>
      <c r="EC40" s="315"/>
      <c r="ED40" s="330"/>
      <c r="EE40" s="318"/>
      <c r="EF40" s="319"/>
      <c r="EG40" s="326"/>
      <c r="EH40" s="315"/>
      <c r="EI40" s="635"/>
      <c r="EJ40" s="318"/>
      <c r="EK40" s="315"/>
      <c r="EL40" s="635"/>
      <c r="EM40" s="189"/>
      <c r="EN40" s="636"/>
      <c r="EO40" s="637"/>
      <c r="EP40" s="638"/>
      <c r="EQ40" s="315"/>
      <c r="ER40" s="315"/>
      <c r="ES40" s="319"/>
      <c r="ET40" s="639">
        <f t="shared" si="1"/>
        <v>1</v>
      </c>
      <c r="EU40" s="640"/>
      <c r="EV40" s="640">
        <f t="shared" si="2"/>
        <v>0</v>
      </c>
      <c r="EW40" s="640"/>
      <c r="EX40" s="641">
        <f t="shared" si="3"/>
        <v>0</v>
      </c>
    </row>
    <row r="41" spans="1:154" s="363" customFormat="1" ht="20.100000000000001" customHeight="1" x14ac:dyDescent="0.2">
      <c r="A41" s="646" t="s">
        <v>364</v>
      </c>
      <c r="B41" s="578" t="s">
        <v>484</v>
      </c>
      <c r="C41" s="312"/>
      <c r="D41" s="313" t="s">
        <v>485</v>
      </c>
      <c r="E41" s="312"/>
      <c r="F41" s="580" t="s">
        <v>486</v>
      </c>
      <c r="G41" s="581"/>
      <c r="H41" s="582" t="s">
        <v>487</v>
      </c>
      <c r="I41" s="627"/>
      <c r="J41" s="314"/>
      <c r="K41" s="315"/>
      <c r="L41" s="628"/>
      <c r="M41" s="629"/>
      <c r="N41" s="316"/>
      <c r="O41" s="317"/>
      <c r="P41" s="318"/>
      <c r="Q41" s="301"/>
      <c r="R41" s="301"/>
      <c r="S41" s="315"/>
      <c r="T41" s="315"/>
      <c r="U41" s="315"/>
      <c r="V41" s="315"/>
      <c r="W41" s="315"/>
      <c r="X41" s="315"/>
      <c r="Y41" s="315"/>
      <c r="Z41" s="315"/>
      <c r="AA41" s="319"/>
      <c r="AB41" s="320"/>
      <c r="AC41" s="315"/>
      <c r="AD41" s="315"/>
      <c r="AE41" s="315"/>
      <c r="AF41" s="315"/>
      <c r="AG41" s="321"/>
      <c r="AH41" s="322" t="str">
        <f t="shared" si="6"/>
        <v/>
      </c>
      <c r="AI41" s="323" t="str">
        <f>IF(ISNUMBER(AH41),100*AH41/(#REF!),"")</f>
        <v/>
      </c>
      <c r="AJ41" s="321"/>
      <c r="AK41" s="315"/>
      <c r="AL41" s="650"/>
      <c r="AM41" s="651"/>
      <c r="AN41" s="325"/>
      <c r="AO41" s="321"/>
      <c r="AP41" s="315"/>
      <c r="AQ41" s="321"/>
      <c r="AR41" s="321"/>
      <c r="AS41" s="339"/>
      <c r="AT41" s="318"/>
      <c r="AU41" s="325"/>
      <c r="AV41" s="325"/>
      <c r="AW41" s="325"/>
      <c r="AX41" s="315"/>
      <c r="AY41" s="321"/>
      <c r="AZ41" s="315"/>
      <c r="BA41" s="315"/>
      <c r="BB41" s="321"/>
      <c r="BC41" s="159"/>
      <c r="BD41" s="326"/>
      <c r="BE41" s="315"/>
      <c r="BF41" s="319"/>
      <c r="BG41" s="320"/>
      <c r="BH41" s="321"/>
      <c r="BI41" s="323"/>
      <c r="BJ41" s="262"/>
      <c r="BK41" s="342"/>
      <c r="BL41" s="320"/>
      <c r="BM41" s="321"/>
      <c r="BN41" s="321"/>
      <c r="BO41" s="321"/>
      <c r="BP41" s="321"/>
      <c r="BQ41" s="327"/>
      <c r="BR41" s="318"/>
      <c r="BS41" s="328"/>
      <c r="BT41" s="329"/>
      <c r="BU41" s="340"/>
      <c r="BV41" s="318"/>
      <c r="BW41" s="315"/>
      <c r="BX41" s="315"/>
      <c r="BY41" s="315"/>
      <c r="BZ41" s="315"/>
      <c r="CA41" s="315"/>
      <c r="CB41" s="315"/>
      <c r="CC41" s="330"/>
      <c r="CD41" s="318"/>
      <c r="CE41" s="315"/>
      <c r="CF41" s="315"/>
      <c r="CG41" s="319"/>
      <c r="CH41" s="318"/>
      <c r="CI41" s="319"/>
      <c r="CJ41" s="326"/>
      <c r="CK41" s="315"/>
      <c r="CL41" s="315"/>
      <c r="CM41" s="319"/>
      <c r="CN41" s="326"/>
      <c r="CO41" s="315"/>
      <c r="CP41" s="315"/>
      <c r="CQ41" s="315"/>
      <c r="CR41" s="319"/>
      <c r="CS41" s="318"/>
      <c r="CT41" s="331"/>
      <c r="CU41" s="188"/>
      <c r="CV41" s="332"/>
      <c r="CW41" s="333"/>
      <c r="CX41" s="334"/>
      <c r="CY41" s="318"/>
      <c r="CZ41" s="643"/>
      <c r="DA41" s="335"/>
      <c r="DB41" s="189"/>
      <c r="DC41" s="336"/>
      <c r="DD41" s="323"/>
      <c r="DE41" s="319"/>
      <c r="DF41" s="318"/>
      <c r="DG41" s="643"/>
      <c r="DH41" s="315"/>
      <c r="DI41" s="632"/>
      <c r="DJ41" s="633"/>
      <c r="DK41" s="318"/>
      <c r="DL41" s="315"/>
      <c r="DM41" s="315"/>
      <c r="DN41" s="315"/>
      <c r="DO41" s="315"/>
      <c r="DP41" s="315"/>
      <c r="DQ41" s="330"/>
      <c r="DR41" s="318"/>
      <c r="DS41" s="319"/>
      <c r="DT41" s="318"/>
      <c r="DU41" s="315"/>
      <c r="DV41" s="635"/>
      <c r="DW41" s="318"/>
      <c r="DX41" s="315"/>
      <c r="DY41" s="319"/>
      <c r="DZ41" s="318"/>
      <c r="EA41" s="315"/>
      <c r="EB41" s="315"/>
      <c r="EC41" s="315"/>
      <c r="ED41" s="330"/>
      <c r="EE41" s="318"/>
      <c r="EF41" s="319"/>
      <c r="EG41" s="326"/>
      <c r="EH41" s="315"/>
      <c r="EI41" s="635"/>
      <c r="EJ41" s="318"/>
      <c r="EK41" s="315"/>
      <c r="EL41" s="635"/>
      <c r="EM41" s="189"/>
      <c r="EN41" s="636"/>
      <c r="EO41" s="637"/>
      <c r="EP41" s="638"/>
      <c r="EQ41" s="315"/>
      <c r="ER41" s="315"/>
      <c r="ES41" s="319"/>
      <c r="ET41" s="639">
        <f t="shared" si="1"/>
        <v>1</v>
      </c>
      <c r="EU41" s="640"/>
      <c r="EV41" s="640">
        <f t="shared" si="2"/>
        <v>0</v>
      </c>
      <c r="EW41" s="640"/>
      <c r="EX41" s="641">
        <f t="shared" si="3"/>
        <v>0</v>
      </c>
    </row>
    <row r="42" spans="1:154" s="363" customFormat="1" ht="20.100000000000001" customHeight="1" x14ac:dyDescent="0.2">
      <c r="A42" s="646" t="s">
        <v>365</v>
      </c>
      <c r="B42" s="578" t="s">
        <v>484</v>
      </c>
      <c r="C42" s="312"/>
      <c r="D42" s="313" t="s">
        <v>485</v>
      </c>
      <c r="E42" s="312"/>
      <c r="F42" s="580" t="s">
        <v>486</v>
      </c>
      <c r="G42" s="581"/>
      <c r="H42" s="582" t="s">
        <v>487</v>
      </c>
      <c r="I42" s="627"/>
      <c r="J42" s="314"/>
      <c r="K42" s="315"/>
      <c r="L42" s="628"/>
      <c r="M42" s="629"/>
      <c r="N42" s="316"/>
      <c r="O42" s="317"/>
      <c r="P42" s="318"/>
      <c r="Q42" s="301"/>
      <c r="R42" s="301"/>
      <c r="S42" s="315"/>
      <c r="T42" s="315"/>
      <c r="U42" s="315"/>
      <c r="V42" s="315"/>
      <c r="W42" s="315"/>
      <c r="X42" s="315"/>
      <c r="Y42" s="315"/>
      <c r="Z42" s="315"/>
      <c r="AA42" s="319"/>
      <c r="AB42" s="320"/>
      <c r="AC42" s="315"/>
      <c r="AD42" s="315"/>
      <c r="AE42" s="315"/>
      <c r="AF42" s="315"/>
      <c r="AG42" s="321"/>
      <c r="AH42" s="322" t="str">
        <f t="shared" si="6"/>
        <v/>
      </c>
      <c r="AI42" s="323" t="str">
        <f>IF(ISNUMBER(AH42),100*AH42/(#REF!),"")</f>
        <v/>
      </c>
      <c r="AJ42" s="321"/>
      <c r="AK42" s="315"/>
      <c r="AL42" s="315"/>
      <c r="AM42" s="324"/>
      <c r="AN42" s="325"/>
      <c r="AO42" s="321"/>
      <c r="AP42" s="315"/>
      <c r="AQ42" s="321"/>
      <c r="AR42" s="321"/>
      <c r="AS42" s="339"/>
      <c r="AT42" s="318"/>
      <c r="AU42" s="325"/>
      <c r="AV42" s="325"/>
      <c r="AW42" s="325"/>
      <c r="AX42" s="315"/>
      <c r="AY42" s="321"/>
      <c r="AZ42" s="315"/>
      <c r="BA42" s="315"/>
      <c r="BB42" s="321"/>
      <c r="BC42" s="159"/>
      <c r="BD42" s="326"/>
      <c r="BE42" s="315"/>
      <c r="BF42" s="319"/>
      <c r="BG42" s="320"/>
      <c r="BH42" s="321"/>
      <c r="BI42" s="323"/>
      <c r="BJ42" s="262"/>
      <c r="BK42" s="342"/>
      <c r="BL42" s="320"/>
      <c r="BM42" s="321"/>
      <c r="BN42" s="321"/>
      <c r="BO42" s="321"/>
      <c r="BP42" s="321"/>
      <c r="BQ42" s="327"/>
      <c r="BR42" s="318"/>
      <c r="BS42" s="328"/>
      <c r="BT42" s="329"/>
      <c r="BU42" s="340"/>
      <c r="BV42" s="318"/>
      <c r="BW42" s="315"/>
      <c r="BX42" s="315"/>
      <c r="BY42" s="315"/>
      <c r="BZ42" s="315"/>
      <c r="CA42" s="315"/>
      <c r="CB42" s="315"/>
      <c r="CC42" s="330"/>
      <c r="CD42" s="318"/>
      <c r="CE42" s="315"/>
      <c r="CF42" s="315"/>
      <c r="CG42" s="319"/>
      <c r="CH42" s="318"/>
      <c r="CI42" s="319"/>
      <c r="CJ42" s="326"/>
      <c r="CK42" s="315"/>
      <c r="CL42" s="315"/>
      <c r="CM42" s="319"/>
      <c r="CN42" s="326"/>
      <c r="CO42" s="315"/>
      <c r="CP42" s="315"/>
      <c r="CQ42" s="315"/>
      <c r="CR42" s="319"/>
      <c r="CS42" s="318"/>
      <c r="CT42" s="331"/>
      <c r="CU42" s="188"/>
      <c r="CV42" s="332"/>
      <c r="CW42" s="333"/>
      <c r="CX42" s="334"/>
      <c r="CY42" s="318"/>
      <c r="CZ42" s="643"/>
      <c r="DA42" s="335"/>
      <c r="DB42" s="189"/>
      <c r="DC42" s="336"/>
      <c r="DD42" s="323"/>
      <c r="DE42" s="319"/>
      <c r="DF42" s="318"/>
      <c r="DG42" s="315"/>
      <c r="DH42" s="315"/>
      <c r="DI42" s="632"/>
      <c r="DJ42" s="633"/>
      <c r="DK42" s="318"/>
      <c r="DL42" s="315"/>
      <c r="DM42" s="315"/>
      <c r="DN42" s="315"/>
      <c r="DO42" s="315"/>
      <c r="DP42" s="315"/>
      <c r="DQ42" s="330"/>
      <c r="DR42" s="318"/>
      <c r="DS42" s="319"/>
      <c r="DT42" s="318"/>
      <c r="DU42" s="315"/>
      <c r="DV42" s="635"/>
      <c r="DW42" s="318"/>
      <c r="DX42" s="315"/>
      <c r="DY42" s="319"/>
      <c r="DZ42" s="318"/>
      <c r="EA42" s="315"/>
      <c r="EB42" s="315"/>
      <c r="EC42" s="315"/>
      <c r="ED42" s="330"/>
      <c r="EE42" s="318"/>
      <c r="EF42" s="319"/>
      <c r="EG42" s="326"/>
      <c r="EH42" s="315"/>
      <c r="EI42" s="635"/>
      <c r="EJ42" s="318"/>
      <c r="EK42" s="315"/>
      <c r="EL42" s="635"/>
      <c r="EM42" s="189"/>
      <c r="EN42" s="636"/>
      <c r="EO42" s="637"/>
      <c r="EP42" s="638"/>
      <c r="EQ42" s="315"/>
      <c r="ER42" s="315"/>
      <c r="ES42" s="319"/>
      <c r="ET42" s="639">
        <f t="shared" si="1"/>
        <v>1</v>
      </c>
      <c r="EU42" s="640"/>
      <c r="EV42" s="640">
        <f t="shared" si="2"/>
        <v>0</v>
      </c>
      <c r="EW42" s="640"/>
      <c r="EX42" s="641">
        <f t="shared" si="3"/>
        <v>0</v>
      </c>
    </row>
    <row r="43" spans="1:154" s="363" customFormat="1" ht="20.100000000000001" customHeight="1" x14ac:dyDescent="0.2">
      <c r="A43" s="646" t="s">
        <v>366</v>
      </c>
      <c r="B43" s="578" t="s">
        <v>484</v>
      </c>
      <c r="C43" s="312"/>
      <c r="D43" s="313" t="s">
        <v>485</v>
      </c>
      <c r="E43" s="312"/>
      <c r="F43" s="580" t="s">
        <v>486</v>
      </c>
      <c r="G43" s="581"/>
      <c r="H43" s="582" t="s">
        <v>487</v>
      </c>
      <c r="I43" s="627"/>
      <c r="J43" s="314"/>
      <c r="K43" s="315"/>
      <c r="L43" s="628"/>
      <c r="M43" s="629"/>
      <c r="N43" s="316"/>
      <c r="O43" s="317"/>
      <c r="P43" s="318"/>
      <c r="Q43" s="301"/>
      <c r="R43" s="301"/>
      <c r="S43" s="315"/>
      <c r="T43" s="315"/>
      <c r="U43" s="315"/>
      <c r="V43" s="315"/>
      <c r="W43" s="315"/>
      <c r="X43" s="315"/>
      <c r="Y43" s="315"/>
      <c r="Z43" s="315"/>
      <c r="AA43" s="319"/>
      <c r="AB43" s="320"/>
      <c r="AC43" s="315"/>
      <c r="AD43" s="315"/>
      <c r="AE43" s="315"/>
      <c r="AF43" s="315"/>
      <c r="AG43" s="321"/>
      <c r="AH43" s="322" t="str">
        <f t="shared" si="6"/>
        <v/>
      </c>
      <c r="AI43" s="323" t="str">
        <f>IF(ISNUMBER(AH43),100*AH43/(#REF!),"")</f>
        <v/>
      </c>
      <c r="AJ43" s="321"/>
      <c r="AK43" s="315"/>
      <c r="AL43" s="315"/>
      <c r="AM43" s="324"/>
      <c r="AN43" s="325"/>
      <c r="AO43" s="321"/>
      <c r="AP43" s="315"/>
      <c r="AQ43" s="321"/>
      <c r="AR43" s="321"/>
      <c r="AS43" s="339"/>
      <c r="AT43" s="318"/>
      <c r="AU43" s="325"/>
      <c r="AV43" s="325"/>
      <c r="AW43" s="325"/>
      <c r="AX43" s="315"/>
      <c r="AY43" s="321"/>
      <c r="AZ43" s="315"/>
      <c r="BA43" s="315"/>
      <c r="BB43" s="321"/>
      <c r="BC43" s="159"/>
      <c r="BD43" s="326"/>
      <c r="BE43" s="315"/>
      <c r="BF43" s="319"/>
      <c r="BG43" s="320"/>
      <c r="BH43" s="321"/>
      <c r="BI43" s="323"/>
      <c r="BJ43" s="262"/>
      <c r="BK43" s="342"/>
      <c r="BL43" s="320"/>
      <c r="BM43" s="321"/>
      <c r="BN43" s="321"/>
      <c r="BO43" s="321"/>
      <c r="BP43" s="321"/>
      <c r="BQ43" s="327"/>
      <c r="BR43" s="318"/>
      <c r="BS43" s="328"/>
      <c r="BT43" s="329"/>
      <c r="BU43" s="340"/>
      <c r="BV43" s="318"/>
      <c r="BW43" s="315"/>
      <c r="BX43" s="315"/>
      <c r="BY43" s="315"/>
      <c r="BZ43" s="315"/>
      <c r="CA43" s="315"/>
      <c r="CB43" s="315"/>
      <c r="CC43" s="330"/>
      <c r="CD43" s="318"/>
      <c r="CE43" s="315"/>
      <c r="CF43" s="315"/>
      <c r="CG43" s="319"/>
      <c r="CH43" s="318"/>
      <c r="CI43" s="319"/>
      <c r="CJ43" s="326"/>
      <c r="CK43" s="315"/>
      <c r="CL43" s="315"/>
      <c r="CM43" s="319"/>
      <c r="CN43" s="326"/>
      <c r="CO43" s="315"/>
      <c r="CP43" s="315"/>
      <c r="CQ43" s="315"/>
      <c r="CR43" s="319"/>
      <c r="CS43" s="318"/>
      <c r="CT43" s="331"/>
      <c r="CU43" s="188"/>
      <c r="CV43" s="332"/>
      <c r="CW43" s="333"/>
      <c r="CX43" s="334"/>
      <c r="CY43" s="318"/>
      <c r="CZ43" s="643"/>
      <c r="DA43" s="335"/>
      <c r="DB43" s="189"/>
      <c r="DC43" s="336"/>
      <c r="DD43" s="323"/>
      <c r="DE43" s="319"/>
      <c r="DF43" s="318"/>
      <c r="DG43" s="315"/>
      <c r="DH43" s="315"/>
      <c r="DI43" s="632"/>
      <c r="DJ43" s="633"/>
      <c r="DK43" s="318"/>
      <c r="DL43" s="315"/>
      <c r="DM43" s="315"/>
      <c r="DN43" s="315"/>
      <c r="DO43" s="315"/>
      <c r="DP43" s="315"/>
      <c r="DQ43" s="330"/>
      <c r="DR43" s="318"/>
      <c r="DS43" s="319"/>
      <c r="DT43" s="318"/>
      <c r="DU43" s="315"/>
      <c r="DV43" s="635"/>
      <c r="DW43" s="318"/>
      <c r="DX43" s="315"/>
      <c r="DY43" s="319"/>
      <c r="DZ43" s="318"/>
      <c r="EA43" s="315"/>
      <c r="EB43" s="315"/>
      <c r="EC43" s="315"/>
      <c r="ED43" s="330"/>
      <c r="EE43" s="318"/>
      <c r="EF43" s="319"/>
      <c r="EG43" s="326"/>
      <c r="EH43" s="315"/>
      <c r="EI43" s="635"/>
      <c r="EJ43" s="318"/>
      <c r="EK43" s="315"/>
      <c r="EL43" s="635"/>
      <c r="EM43" s="189"/>
      <c r="EN43" s="636"/>
      <c r="EO43" s="637"/>
      <c r="EP43" s="638"/>
      <c r="EQ43" s="315"/>
      <c r="ER43" s="315"/>
      <c r="ES43" s="319"/>
      <c r="ET43" s="639">
        <f t="shared" si="1"/>
        <v>1</v>
      </c>
      <c r="EU43" s="640"/>
      <c r="EV43" s="640">
        <f t="shared" si="2"/>
        <v>0</v>
      </c>
      <c r="EW43" s="640"/>
      <c r="EX43" s="641">
        <f t="shared" si="3"/>
        <v>0</v>
      </c>
    </row>
    <row r="44" spans="1:154" s="363" customFormat="1" ht="20.100000000000001" customHeight="1" x14ac:dyDescent="0.2">
      <c r="A44" s="646" t="s">
        <v>367</v>
      </c>
      <c r="B44" s="578" t="s">
        <v>484</v>
      </c>
      <c r="C44" s="312"/>
      <c r="D44" s="313" t="s">
        <v>485</v>
      </c>
      <c r="E44" s="312"/>
      <c r="F44" s="580" t="s">
        <v>486</v>
      </c>
      <c r="G44" s="581"/>
      <c r="H44" s="582" t="s">
        <v>487</v>
      </c>
      <c r="I44" s="627"/>
      <c r="J44" s="314"/>
      <c r="K44" s="315"/>
      <c r="L44" s="628"/>
      <c r="M44" s="629"/>
      <c r="N44" s="316"/>
      <c r="O44" s="317"/>
      <c r="P44" s="318"/>
      <c r="Q44" s="301"/>
      <c r="R44" s="301"/>
      <c r="S44" s="315"/>
      <c r="T44" s="315"/>
      <c r="U44" s="315"/>
      <c r="V44" s="315"/>
      <c r="W44" s="315"/>
      <c r="X44" s="315"/>
      <c r="Y44" s="315"/>
      <c r="Z44" s="315"/>
      <c r="AA44" s="319"/>
      <c r="AB44" s="320"/>
      <c r="AC44" s="315"/>
      <c r="AD44" s="315"/>
      <c r="AE44" s="315"/>
      <c r="AF44" s="315"/>
      <c r="AG44" s="321"/>
      <c r="AH44" s="322" t="str">
        <f t="shared" si="6"/>
        <v/>
      </c>
      <c r="AI44" s="323" t="str">
        <f>IF(ISNUMBER(AH44),100*AH44/(#REF!),"")</f>
        <v/>
      </c>
      <c r="AJ44" s="321"/>
      <c r="AK44" s="315"/>
      <c r="AL44" s="315"/>
      <c r="AM44" s="324"/>
      <c r="AN44" s="325"/>
      <c r="AO44" s="321"/>
      <c r="AP44" s="315"/>
      <c r="AQ44" s="321"/>
      <c r="AR44" s="321"/>
      <c r="AS44" s="339"/>
      <c r="AT44" s="318"/>
      <c r="AU44" s="325"/>
      <c r="AV44" s="325"/>
      <c r="AW44" s="325"/>
      <c r="AX44" s="315"/>
      <c r="AY44" s="321"/>
      <c r="AZ44" s="315"/>
      <c r="BA44" s="315"/>
      <c r="BB44" s="321"/>
      <c r="BC44" s="159"/>
      <c r="BD44" s="326"/>
      <c r="BE44" s="315"/>
      <c r="BF44" s="319"/>
      <c r="BG44" s="320"/>
      <c r="BH44" s="321"/>
      <c r="BI44" s="323"/>
      <c r="BJ44" s="262"/>
      <c r="BK44" s="342"/>
      <c r="BL44" s="320"/>
      <c r="BM44" s="321"/>
      <c r="BN44" s="321"/>
      <c r="BO44" s="321"/>
      <c r="BP44" s="321"/>
      <c r="BQ44" s="327"/>
      <c r="BR44" s="318"/>
      <c r="BS44" s="328"/>
      <c r="BT44" s="329"/>
      <c r="BU44" s="340"/>
      <c r="BV44" s="318"/>
      <c r="BW44" s="315"/>
      <c r="BX44" s="315"/>
      <c r="BY44" s="315"/>
      <c r="BZ44" s="315"/>
      <c r="CA44" s="315"/>
      <c r="CB44" s="315"/>
      <c r="CC44" s="330"/>
      <c r="CD44" s="318"/>
      <c r="CE44" s="315"/>
      <c r="CF44" s="315"/>
      <c r="CG44" s="319"/>
      <c r="CH44" s="318"/>
      <c r="CI44" s="319"/>
      <c r="CJ44" s="326"/>
      <c r="CK44" s="315"/>
      <c r="CL44" s="315"/>
      <c r="CM44" s="319"/>
      <c r="CN44" s="326"/>
      <c r="CO44" s="315"/>
      <c r="CP44" s="315"/>
      <c r="CQ44" s="315"/>
      <c r="CR44" s="319"/>
      <c r="CS44" s="318"/>
      <c r="CT44" s="331"/>
      <c r="CU44" s="188"/>
      <c r="CV44" s="332"/>
      <c r="CW44" s="333"/>
      <c r="CX44" s="334"/>
      <c r="CY44" s="318"/>
      <c r="CZ44" s="643"/>
      <c r="DA44" s="335"/>
      <c r="DB44" s="189"/>
      <c r="DC44" s="336"/>
      <c r="DD44" s="323"/>
      <c r="DE44" s="319"/>
      <c r="DF44" s="318"/>
      <c r="DG44" s="315"/>
      <c r="DH44" s="315"/>
      <c r="DI44" s="632"/>
      <c r="DJ44" s="633"/>
      <c r="DK44" s="318"/>
      <c r="DL44" s="315"/>
      <c r="DM44" s="315"/>
      <c r="DN44" s="315"/>
      <c r="DO44" s="315"/>
      <c r="DP44" s="315"/>
      <c r="DQ44" s="330"/>
      <c r="DR44" s="318"/>
      <c r="DS44" s="319"/>
      <c r="DT44" s="318"/>
      <c r="DU44" s="315"/>
      <c r="DV44" s="635"/>
      <c r="DW44" s="318"/>
      <c r="DX44" s="315"/>
      <c r="DY44" s="319"/>
      <c r="DZ44" s="318"/>
      <c r="EA44" s="315"/>
      <c r="EB44" s="315"/>
      <c r="EC44" s="315"/>
      <c r="ED44" s="330"/>
      <c r="EE44" s="318"/>
      <c r="EF44" s="319"/>
      <c r="EG44" s="326"/>
      <c r="EH44" s="315"/>
      <c r="EI44" s="635"/>
      <c r="EJ44" s="318"/>
      <c r="EK44" s="315"/>
      <c r="EL44" s="635"/>
      <c r="EM44" s="189"/>
      <c r="EN44" s="636"/>
      <c r="EO44" s="637"/>
      <c r="EP44" s="638"/>
      <c r="EQ44" s="315"/>
      <c r="ER44" s="315"/>
      <c r="ES44" s="319"/>
      <c r="ET44" s="639">
        <f t="shared" si="1"/>
        <v>1</v>
      </c>
      <c r="EU44" s="640"/>
      <c r="EV44" s="640">
        <f t="shared" si="2"/>
        <v>0</v>
      </c>
      <c r="EW44" s="640"/>
      <c r="EX44" s="641">
        <f t="shared" si="3"/>
        <v>0</v>
      </c>
    </row>
    <row r="45" spans="1:154" s="363" customFormat="1" ht="20.100000000000001" customHeight="1" x14ac:dyDescent="0.2">
      <c r="A45" s="646" t="s">
        <v>368</v>
      </c>
      <c r="B45" s="578" t="s">
        <v>484</v>
      </c>
      <c r="C45" s="312"/>
      <c r="D45" s="313" t="s">
        <v>485</v>
      </c>
      <c r="E45" s="312"/>
      <c r="F45" s="580" t="s">
        <v>486</v>
      </c>
      <c r="G45" s="581"/>
      <c r="H45" s="582" t="s">
        <v>487</v>
      </c>
      <c r="I45" s="627"/>
      <c r="J45" s="314"/>
      <c r="K45" s="315"/>
      <c r="L45" s="628"/>
      <c r="M45" s="629"/>
      <c r="N45" s="316"/>
      <c r="O45" s="317"/>
      <c r="P45" s="318"/>
      <c r="Q45" s="301"/>
      <c r="R45" s="301"/>
      <c r="S45" s="315"/>
      <c r="T45" s="315"/>
      <c r="U45" s="315"/>
      <c r="V45" s="315"/>
      <c r="W45" s="315"/>
      <c r="X45" s="315"/>
      <c r="Y45" s="315"/>
      <c r="Z45" s="315"/>
      <c r="AA45" s="319"/>
      <c r="AB45" s="320"/>
      <c r="AC45" s="315"/>
      <c r="AD45" s="315"/>
      <c r="AE45" s="315"/>
      <c r="AF45" s="315"/>
      <c r="AG45" s="321"/>
      <c r="AH45" s="322" t="str">
        <f t="shared" si="6"/>
        <v/>
      </c>
      <c r="AI45" s="323" t="str">
        <f>IF(ISNUMBER(AH45),100*AH45/(#REF!),"")</f>
        <v/>
      </c>
      <c r="AJ45" s="321"/>
      <c r="AK45" s="315"/>
      <c r="AL45" s="315"/>
      <c r="AM45" s="324"/>
      <c r="AN45" s="325"/>
      <c r="AO45" s="321"/>
      <c r="AP45" s="315"/>
      <c r="AQ45" s="321"/>
      <c r="AR45" s="321"/>
      <c r="AS45" s="339"/>
      <c r="AT45" s="318"/>
      <c r="AU45" s="325"/>
      <c r="AV45" s="325"/>
      <c r="AW45" s="325"/>
      <c r="AX45" s="315"/>
      <c r="AY45" s="321"/>
      <c r="AZ45" s="315"/>
      <c r="BA45" s="315"/>
      <c r="BB45" s="321"/>
      <c r="BC45" s="159"/>
      <c r="BD45" s="326"/>
      <c r="BE45" s="315"/>
      <c r="BF45" s="319"/>
      <c r="BG45" s="320"/>
      <c r="BH45" s="321"/>
      <c r="BI45" s="323"/>
      <c r="BJ45" s="262"/>
      <c r="BK45" s="342"/>
      <c r="BL45" s="320"/>
      <c r="BM45" s="321"/>
      <c r="BN45" s="321"/>
      <c r="BO45" s="321"/>
      <c r="BP45" s="321"/>
      <c r="BQ45" s="327"/>
      <c r="BR45" s="318"/>
      <c r="BS45" s="328"/>
      <c r="BT45" s="329"/>
      <c r="BU45" s="340"/>
      <c r="BV45" s="318"/>
      <c r="BW45" s="315"/>
      <c r="BX45" s="315"/>
      <c r="BY45" s="315"/>
      <c r="BZ45" s="315"/>
      <c r="CA45" s="315"/>
      <c r="CB45" s="315"/>
      <c r="CC45" s="330"/>
      <c r="CD45" s="318"/>
      <c r="CE45" s="315"/>
      <c r="CF45" s="315"/>
      <c r="CG45" s="319"/>
      <c r="CH45" s="318"/>
      <c r="CI45" s="319"/>
      <c r="CJ45" s="326"/>
      <c r="CK45" s="315"/>
      <c r="CL45" s="315"/>
      <c r="CM45" s="319"/>
      <c r="CN45" s="326"/>
      <c r="CO45" s="315"/>
      <c r="CP45" s="315"/>
      <c r="CQ45" s="315"/>
      <c r="CR45" s="319"/>
      <c r="CS45" s="318"/>
      <c r="CT45" s="331"/>
      <c r="CU45" s="188"/>
      <c r="CV45" s="332"/>
      <c r="CW45" s="333"/>
      <c r="CX45" s="334"/>
      <c r="CY45" s="318"/>
      <c r="CZ45" s="643"/>
      <c r="DA45" s="335"/>
      <c r="DB45" s="189"/>
      <c r="DC45" s="336"/>
      <c r="DD45" s="323"/>
      <c r="DE45" s="319"/>
      <c r="DF45" s="318"/>
      <c r="DG45" s="315"/>
      <c r="DH45" s="315"/>
      <c r="DI45" s="632"/>
      <c r="DJ45" s="633"/>
      <c r="DK45" s="318"/>
      <c r="DL45" s="315"/>
      <c r="DM45" s="315"/>
      <c r="DN45" s="315"/>
      <c r="DO45" s="315"/>
      <c r="DP45" s="315"/>
      <c r="DQ45" s="330"/>
      <c r="DR45" s="318"/>
      <c r="DS45" s="319"/>
      <c r="DT45" s="318"/>
      <c r="DU45" s="315"/>
      <c r="DV45" s="635"/>
      <c r="DW45" s="318"/>
      <c r="DX45" s="315"/>
      <c r="DY45" s="319"/>
      <c r="DZ45" s="318"/>
      <c r="EA45" s="315"/>
      <c r="EB45" s="315"/>
      <c r="EC45" s="315"/>
      <c r="ED45" s="330"/>
      <c r="EE45" s="318"/>
      <c r="EF45" s="319"/>
      <c r="EG45" s="326"/>
      <c r="EH45" s="315"/>
      <c r="EI45" s="635"/>
      <c r="EJ45" s="318"/>
      <c r="EK45" s="315"/>
      <c r="EL45" s="635"/>
      <c r="EM45" s="189"/>
      <c r="EN45" s="636"/>
      <c r="EO45" s="637"/>
      <c r="EP45" s="638"/>
      <c r="EQ45" s="315"/>
      <c r="ER45" s="315"/>
      <c r="ES45" s="319"/>
      <c r="ET45" s="639">
        <f t="shared" si="1"/>
        <v>1</v>
      </c>
      <c r="EU45" s="640"/>
      <c r="EV45" s="640">
        <f t="shared" si="2"/>
        <v>0</v>
      </c>
      <c r="EW45" s="640"/>
      <c r="EX45" s="641">
        <f t="shared" si="3"/>
        <v>0</v>
      </c>
    </row>
    <row r="46" spans="1:154" s="363" customFormat="1" ht="20.100000000000001" customHeight="1" x14ac:dyDescent="0.2">
      <c r="A46" s="646" t="s">
        <v>369</v>
      </c>
      <c r="B46" s="578" t="s">
        <v>484</v>
      </c>
      <c r="C46" s="312"/>
      <c r="D46" s="313" t="s">
        <v>485</v>
      </c>
      <c r="E46" s="312"/>
      <c r="F46" s="580" t="s">
        <v>486</v>
      </c>
      <c r="G46" s="581"/>
      <c r="H46" s="582" t="s">
        <v>487</v>
      </c>
      <c r="I46" s="627"/>
      <c r="J46" s="314"/>
      <c r="K46" s="315"/>
      <c r="L46" s="628"/>
      <c r="M46" s="629"/>
      <c r="N46" s="316"/>
      <c r="O46" s="317"/>
      <c r="P46" s="318"/>
      <c r="Q46" s="301"/>
      <c r="R46" s="301"/>
      <c r="S46" s="315"/>
      <c r="T46" s="315"/>
      <c r="U46" s="315"/>
      <c r="V46" s="315"/>
      <c r="W46" s="315"/>
      <c r="X46" s="315"/>
      <c r="Y46" s="315"/>
      <c r="Z46" s="315"/>
      <c r="AA46" s="319"/>
      <c r="AB46" s="320"/>
      <c r="AC46" s="315"/>
      <c r="AD46" s="315"/>
      <c r="AE46" s="315"/>
      <c r="AF46" s="315"/>
      <c r="AG46" s="321"/>
      <c r="AH46" s="322" t="str">
        <f t="shared" si="6"/>
        <v/>
      </c>
      <c r="AI46" s="323" t="str">
        <f>IF(ISNUMBER(AH46),100*AH46/(#REF!),"")</f>
        <v/>
      </c>
      <c r="AJ46" s="321"/>
      <c r="AK46" s="315"/>
      <c r="AL46" s="315"/>
      <c r="AM46" s="324"/>
      <c r="AN46" s="325"/>
      <c r="AO46" s="321"/>
      <c r="AP46" s="315"/>
      <c r="AQ46" s="321"/>
      <c r="AR46" s="321"/>
      <c r="AS46" s="339"/>
      <c r="AT46" s="318"/>
      <c r="AU46" s="325"/>
      <c r="AV46" s="325"/>
      <c r="AW46" s="325"/>
      <c r="AX46" s="315"/>
      <c r="AY46" s="321"/>
      <c r="AZ46" s="315"/>
      <c r="BA46" s="315"/>
      <c r="BB46" s="321"/>
      <c r="BC46" s="159"/>
      <c r="BD46" s="326"/>
      <c r="BE46" s="315"/>
      <c r="BF46" s="319"/>
      <c r="BG46" s="320"/>
      <c r="BH46" s="321"/>
      <c r="BI46" s="323"/>
      <c r="BJ46" s="262"/>
      <c r="BK46" s="342"/>
      <c r="BL46" s="320"/>
      <c r="BM46" s="321"/>
      <c r="BN46" s="321"/>
      <c r="BO46" s="321"/>
      <c r="BP46" s="321"/>
      <c r="BQ46" s="327"/>
      <c r="BR46" s="318"/>
      <c r="BS46" s="328"/>
      <c r="BT46" s="329"/>
      <c r="BU46" s="340"/>
      <c r="BV46" s="318"/>
      <c r="BW46" s="315"/>
      <c r="BX46" s="315"/>
      <c r="BY46" s="315"/>
      <c r="BZ46" s="315"/>
      <c r="CA46" s="315"/>
      <c r="CB46" s="315"/>
      <c r="CC46" s="330"/>
      <c r="CD46" s="318"/>
      <c r="CE46" s="315"/>
      <c r="CF46" s="315"/>
      <c r="CG46" s="319"/>
      <c r="CH46" s="318"/>
      <c r="CI46" s="319"/>
      <c r="CJ46" s="326"/>
      <c r="CK46" s="315"/>
      <c r="CL46" s="315"/>
      <c r="CM46" s="319"/>
      <c r="CN46" s="326"/>
      <c r="CO46" s="315"/>
      <c r="CP46" s="315"/>
      <c r="CQ46" s="315"/>
      <c r="CR46" s="319"/>
      <c r="CS46" s="318"/>
      <c r="CT46" s="331"/>
      <c r="CU46" s="188"/>
      <c r="CV46" s="332"/>
      <c r="CW46" s="333"/>
      <c r="CX46" s="334"/>
      <c r="CY46" s="318"/>
      <c r="CZ46" s="315"/>
      <c r="DA46" s="335"/>
      <c r="DB46" s="189"/>
      <c r="DC46" s="336"/>
      <c r="DD46" s="323"/>
      <c r="DE46" s="319"/>
      <c r="DF46" s="318"/>
      <c r="DG46" s="315"/>
      <c r="DH46" s="315"/>
      <c r="DI46" s="632"/>
      <c r="DJ46" s="633"/>
      <c r="DK46" s="318"/>
      <c r="DL46" s="315"/>
      <c r="DM46" s="315"/>
      <c r="DN46" s="315"/>
      <c r="DO46" s="315"/>
      <c r="DP46" s="315"/>
      <c r="DQ46" s="330"/>
      <c r="DR46" s="318"/>
      <c r="DS46" s="319"/>
      <c r="DT46" s="318"/>
      <c r="DU46" s="315"/>
      <c r="DV46" s="635"/>
      <c r="DW46" s="318"/>
      <c r="DX46" s="315"/>
      <c r="DY46" s="319"/>
      <c r="DZ46" s="318"/>
      <c r="EA46" s="315"/>
      <c r="EB46" s="315"/>
      <c r="EC46" s="315"/>
      <c r="ED46" s="330"/>
      <c r="EE46" s="318"/>
      <c r="EF46" s="319"/>
      <c r="EG46" s="326"/>
      <c r="EH46" s="315"/>
      <c r="EI46" s="635"/>
      <c r="EJ46" s="318"/>
      <c r="EK46" s="315"/>
      <c r="EL46" s="635"/>
      <c r="EM46" s="189"/>
      <c r="EN46" s="636"/>
      <c r="EO46" s="637"/>
      <c r="EP46" s="638"/>
      <c r="EQ46" s="315"/>
      <c r="ER46" s="315"/>
      <c r="ES46" s="319"/>
      <c r="ET46" s="639">
        <f t="shared" si="1"/>
        <v>1</v>
      </c>
      <c r="EU46" s="640"/>
      <c r="EV46" s="640">
        <f t="shared" si="2"/>
        <v>0</v>
      </c>
      <c r="EW46" s="640"/>
      <c r="EX46" s="641">
        <f t="shared" si="3"/>
        <v>0</v>
      </c>
    </row>
    <row r="47" spans="1:154" s="363" customFormat="1" ht="20.100000000000001" customHeight="1" x14ac:dyDescent="0.2">
      <c r="A47" s="646" t="s">
        <v>370</v>
      </c>
      <c r="B47" s="578" t="s">
        <v>484</v>
      </c>
      <c r="C47" s="312"/>
      <c r="D47" s="313" t="s">
        <v>485</v>
      </c>
      <c r="E47" s="312"/>
      <c r="F47" s="580" t="s">
        <v>486</v>
      </c>
      <c r="G47" s="581"/>
      <c r="H47" s="582" t="s">
        <v>487</v>
      </c>
      <c r="I47" s="627"/>
      <c r="J47" s="314"/>
      <c r="K47" s="315"/>
      <c r="L47" s="628"/>
      <c r="M47" s="629"/>
      <c r="N47" s="316"/>
      <c r="O47" s="317"/>
      <c r="P47" s="318"/>
      <c r="Q47" s="301"/>
      <c r="R47" s="301"/>
      <c r="S47" s="315"/>
      <c r="T47" s="315"/>
      <c r="U47" s="315"/>
      <c r="V47" s="315"/>
      <c r="W47" s="315"/>
      <c r="X47" s="315"/>
      <c r="Y47" s="315"/>
      <c r="Z47" s="315"/>
      <c r="AA47" s="319"/>
      <c r="AB47" s="320"/>
      <c r="AC47" s="315"/>
      <c r="AD47" s="315"/>
      <c r="AE47" s="315"/>
      <c r="AF47" s="315"/>
      <c r="AG47" s="321"/>
      <c r="AH47" s="322" t="str">
        <f t="shared" si="6"/>
        <v/>
      </c>
      <c r="AI47" s="323" t="str">
        <f>IF(ISNUMBER(AH47),100*AH47/(#REF!),"")</f>
        <v/>
      </c>
      <c r="AJ47" s="321"/>
      <c r="AK47" s="315"/>
      <c r="AL47" s="315"/>
      <c r="AM47" s="324"/>
      <c r="AN47" s="325"/>
      <c r="AO47" s="321"/>
      <c r="AP47" s="315"/>
      <c r="AQ47" s="321"/>
      <c r="AR47" s="321"/>
      <c r="AS47" s="339"/>
      <c r="AT47" s="318"/>
      <c r="AU47" s="325"/>
      <c r="AV47" s="325"/>
      <c r="AW47" s="325"/>
      <c r="AX47" s="315"/>
      <c r="AY47" s="321"/>
      <c r="AZ47" s="315"/>
      <c r="BA47" s="315"/>
      <c r="BB47" s="321"/>
      <c r="BC47" s="159"/>
      <c r="BD47" s="326"/>
      <c r="BE47" s="315"/>
      <c r="BF47" s="319"/>
      <c r="BG47" s="320"/>
      <c r="BH47" s="321"/>
      <c r="BI47" s="323"/>
      <c r="BJ47" s="262"/>
      <c r="BK47" s="342"/>
      <c r="BL47" s="320"/>
      <c r="BM47" s="321"/>
      <c r="BN47" s="321"/>
      <c r="BO47" s="321"/>
      <c r="BP47" s="321"/>
      <c r="BQ47" s="327"/>
      <c r="BR47" s="318"/>
      <c r="BS47" s="328"/>
      <c r="BT47" s="329"/>
      <c r="BU47" s="340"/>
      <c r="BV47" s="318"/>
      <c r="BW47" s="315"/>
      <c r="BX47" s="315"/>
      <c r="BY47" s="315"/>
      <c r="BZ47" s="315"/>
      <c r="CA47" s="315"/>
      <c r="CB47" s="315"/>
      <c r="CC47" s="330"/>
      <c r="CD47" s="318"/>
      <c r="CE47" s="315"/>
      <c r="CF47" s="315"/>
      <c r="CG47" s="319"/>
      <c r="CH47" s="318"/>
      <c r="CI47" s="319"/>
      <c r="CJ47" s="326"/>
      <c r="CK47" s="315"/>
      <c r="CL47" s="315"/>
      <c r="CM47" s="319"/>
      <c r="CN47" s="326"/>
      <c r="CO47" s="315"/>
      <c r="CP47" s="315"/>
      <c r="CQ47" s="315"/>
      <c r="CR47" s="319"/>
      <c r="CS47" s="318"/>
      <c r="CT47" s="331"/>
      <c r="CU47" s="188"/>
      <c r="CV47" s="332"/>
      <c r="CW47" s="333"/>
      <c r="CX47" s="334"/>
      <c r="CY47" s="318"/>
      <c r="CZ47" s="315"/>
      <c r="DA47" s="335"/>
      <c r="DB47" s="189"/>
      <c r="DC47" s="336"/>
      <c r="DD47" s="323"/>
      <c r="DE47" s="319"/>
      <c r="DF47" s="318"/>
      <c r="DG47" s="315"/>
      <c r="DH47" s="315"/>
      <c r="DI47" s="632"/>
      <c r="DJ47" s="633"/>
      <c r="DK47" s="318"/>
      <c r="DL47" s="315"/>
      <c r="DM47" s="315"/>
      <c r="DN47" s="315"/>
      <c r="DO47" s="315"/>
      <c r="DP47" s="315"/>
      <c r="DQ47" s="330"/>
      <c r="DR47" s="318"/>
      <c r="DS47" s="319"/>
      <c r="DT47" s="318"/>
      <c r="DU47" s="315"/>
      <c r="DV47" s="635"/>
      <c r="DW47" s="318"/>
      <c r="DX47" s="315"/>
      <c r="DY47" s="319"/>
      <c r="DZ47" s="318"/>
      <c r="EA47" s="315"/>
      <c r="EB47" s="315"/>
      <c r="EC47" s="315"/>
      <c r="ED47" s="330"/>
      <c r="EE47" s="318"/>
      <c r="EF47" s="319"/>
      <c r="EG47" s="326"/>
      <c r="EH47" s="315"/>
      <c r="EI47" s="635"/>
      <c r="EJ47" s="318"/>
      <c r="EK47" s="315"/>
      <c r="EL47" s="635"/>
      <c r="EM47" s="189"/>
      <c r="EN47" s="636"/>
      <c r="EO47" s="637"/>
      <c r="EP47" s="638"/>
      <c r="EQ47" s="315"/>
      <c r="ER47" s="315"/>
      <c r="ES47" s="319"/>
      <c r="ET47" s="639">
        <f t="shared" si="1"/>
        <v>1</v>
      </c>
      <c r="EU47" s="640"/>
      <c r="EV47" s="640">
        <f t="shared" si="2"/>
        <v>0</v>
      </c>
      <c r="EW47" s="640"/>
      <c r="EX47" s="641">
        <f t="shared" si="3"/>
        <v>0</v>
      </c>
    </row>
    <row r="48" spans="1:154" s="363" customFormat="1" ht="20.100000000000001" customHeight="1" x14ac:dyDescent="0.2">
      <c r="A48" s="646" t="s">
        <v>371</v>
      </c>
      <c r="B48" s="578" t="s">
        <v>484</v>
      </c>
      <c r="C48" s="312"/>
      <c r="D48" s="313" t="s">
        <v>485</v>
      </c>
      <c r="E48" s="312"/>
      <c r="F48" s="580" t="s">
        <v>486</v>
      </c>
      <c r="G48" s="581"/>
      <c r="H48" s="582" t="s">
        <v>487</v>
      </c>
      <c r="I48" s="627"/>
      <c r="J48" s="314"/>
      <c r="K48" s="315"/>
      <c r="L48" s="628"/>
      <c r="M48" s="629"/>
      <c r="N48" s="316"/>
      <c r="O48" s="317"/>
      <c r="P48" s="318"/>
      <c r="Q48" s="301"/>
      <c r="R48" s="301"/>
      <c r="S48" s="315"/>
      <c r="T48" s="315"/>
      <c r="U48" s="315"/>
      <c r="V48" s="315"/>
      <c r="W48" s="315"/>
      <c r="X48" s="315"/>
      <c r="Y48" s="315"/>
      <c r="Z48" s="315"/>
      <c r="AA48" s="319"/>
      <c r="AB48" s="320"/>
      <c r="AC48" s="315"/>
      <c r="AD48" s="315"/>
      <c r="AE48" s="315"/>
      <c r="AF48" s="315"/>
      <c r="AG48" s="321"/>
      <c r="AH48" s="322" t="str">
        <f t="shared" si="6"/>
        <v/>
      </c>
      <c r="AI48" s="323" t="str">
        <f>IF(ISNUMBER(AH48),100*AH48/(#REF!),"")</f>
        <v/>
      </c>
      <c r="AJ48" s="321"/>
      <c r="AK48" s="315"/>
      <c r="AL48" s="315"/>
      <c r="AM48" s="324"/>
      <c r="AN48" s="325"/>
      <c r="AO48" s="321"/>
      <c r="AP48" s="315"/>
      <c r="AQ48" s="321"/>
      <c r="AR48" s="321"/>
      <c r="AS48" s="339"/>
      <c r="AT48" s="318"/>
      <c r="AU48" s="325"/>
      <c r="AV48" s="325"/>
      <c r="AW48" s="325"/>
      <c r="AX48" s="315"/>
      <c r="AY48" s="321"/>
      <c r="AZ48" s="315"/>
      <c r="BA48" s="315"/>
      <c r="BB48" s="321"/>
      <c r="BC48" s="159"/>
      <c r="BD48" s="326"/>
      <c r="BE48" s="315"/>
      <c r="BF48" s="319"/>
      <c r="BG48" s="320"/>
      <c r="BH48" s="321"/>
      <c r="BI48" s="323"/>
      <c r="BJ48" s="262"/>
      <c r="BK48" s="342"/>
      <c r="BL48" s="320"/>
      <c r="BM48" s="321"/>
      <c r="BN48" s="321"/>
      <c r="BO48" s="321"/>
      <c r="BP48" s="321"/>
      <c r="BQ48" s="327"/>
      <c r="BR48" s="318"/>
      <c r="BS48" s="328"/>
      <c r="BT48" s="329"/>
      <c r="BU48" s="340"/>
      <c r="BV48" s="318"/>
      <c r="BW48" s="315"/>
      <c r="BX48" s="315"/>
      <c r="BY48" s="315"/>
      <c r="BZ48" s="315"/>
      <c r="CA48" s="315"/>
      <c r="CB48" s="315"/>
      <c r="CC48" s="330"/>
      <c r="CD48" s="318"/>
      <c r="CE48" s="315"/>
      <c r="CF48" s="315"/>
      <c r="CG48" s="319"/>
      <c r="CH48" s="318"/>
      <c r="CI48" s="319"/>
      <c r="CJ48" s="326"/>
      <c r="CK48" s="315"/>
      <c r="CL48" s="315"/>
      <c r="CM48" s="319"/>
      <c r="CN48" s="326"/>
      <c r="CO48" s="315"/>
      <c r="CP48" s="315"/>
      <c r="CQ48" s="315"/>
      <c r="CR48" s="319"/>
      <c r="CS48" s="318"/>
      <c r="CT48" s="331"/>
      <c r="CU48" s="188"/>
      <c r="CV48" s="332"/>
      <c r="CW48" s="333"/>
      <c r="CX48" s="334"/>
      <c r="CY48" s="318"/>
      <c r="CZ48" s="315"/>
      <c r="DA48" s="335"/>
      <c r="DB48" s="189"/>
      <c r="DC48" s="336"/>
      <c r="DD48" s="323"/>
      <c r="DE48" s="319"/>
      <c r="DF48" s="318"/>
      <c r="DG48" s="315"/>
      <c r="DH48" s="315"/>
      <c r="DI48" s="632"/>
      <c r="DJ48" s="633"/>
      <c r="DK48" s="318"/>
      <c r="DL48" s="315"/>
      <c r="DM48" s="315"/>
      <c r="DN48" s="315"/>
      <c r="DO48" s="315"/>
      <c r="DP48" s="315"/>
      <c r="DQ48" s="330"/>
      <c r="DR48" s="318"/>
      <c r="DS48" s="319"/>
      <c r="DT48" s="318"/>
      <c r="DU48" s="315"/>
      <c r="DV48" s="635"/>
      <c r="DW48" s="318"/>
      <c r="DX48" s="315"/>
      <c r="DY48" s="319"/>
      <c r="DZ48" s="318"/>
      <c r="EA48" s="315"/>
      <c r="EB48" s="315"/>
      <c r="EC48" s="315"/>
      <c r="ED48" s="330"/>
      <c r="EE48" s="318"/>
      <c r="EF48" s="319"/>
      <c r="EG48" s="326"/>
      <c r="EH48" s="315"/>
      <c r="EI48" s="635"/>
      <c r="EJ48" s="318"/>
      <c r="EK48" s="315"/>
      <c r="EL48" s="635"/>
      <c r="EM48" s="189"/>
      <c r="EN48" s="636"/>
      <c r="EO48" s="637"/>
      <c r="EP48" s="638"/>
      <c r="EQ48" s="315"/>
      <c r="ER48" s="315"/>
      <c r="ES48" s="319"/>
      <c r="ET48" s="639">
        <f t="shared" si="1"/>
        <v>1</v>
      </c>
      <c r="EU48" s="640"/>
      <c r="EV48" s="640">
        <f t="shared" si="2"/>
        <v>0</v>
      </c>
      <c r="EW48" s="640"/>
      <c r="EX48" s="641">
        <f t="shared" si="3"/>
        <v>0</v>
      </c>
    </row>
    <row r="49" spans="1:154" s="363" customFormat="1" ht="20.100000000000001" customHeight="1" x14ac:dyDescent="0.2">
      <c r="A49" s="646" t="s">
        <v>372</v>
      </c>
      <c r="B49" s="578" t="s">
        <v>484</v>
      </c>
      <c r="C49" s="312"/>
      <c r="D49" s="313" t="s">
        <v>485</v>
      </c>
      <c r="E49" s="312"/>
      <c r="F49" s="580" t="s">
        <v>486</v>
      </c>
      <c r="G49" s="581"/>
      <c r="H49" s="582" t="s">
        <v>487</v>
      </c>
      <c r="I49" s="627"/>
      <c r="J49" s="314"/>
      <c r="K49" s="315"/>
      <c r="L49" s="628"/>
      <c r="M49" s="629"/>
      <c r="N49" s="316"/>
      <c r="O49" s="317"/>
      <c r="P49" s="318"/>
      <c r="Q49" s="301"/>
      <c r="R49" s="301"/>
      <c r="S49" s="315"/>
      <c r="T49" s="315"/>
      <c r="U49" s="315"/>
      <c r="V49" s="315"/>
      <c r="W49" s="315"/>
      <c r="X49" s="315"/>
      <c r="Y49" s="315"/>
      <c r="Z49" s="315"/>
      <c r="AA49" s="319"/>
      <c r="AB49" s="320"/>
      <c r="AC49" s="315"/>
      <c r="AD49" s="315"/>
      <c r="AE49" s="315"/>
      <c r="AF49" s="315"/>
      <c r="AG49" s="321"/>
      <c r="AH49" s="322" t="str">
        <f t="shared" si="6"/>
        <v/>
      </c>
      <c r="AI49" s="323" t="str">
        <f>IF(ISNUMBER(AH49),100*AH49/(#REF!),"")</f>
        <v/>
      </c>
      <c r="AJ49" s="321"/>
      <c r="AK49" s="315"/>
      <c r="AL49" s="315"/>
      <c r="AM49" s="324"/>
      <c r="AN49" s="325"/>
      <c r="AO49" s="321"/>
      <c r="AP49" s="315"/>
      <c r="AQ49" s="321"/>
      <c r="AR49" s="321"/>
      <c r="AS49" s="339"/>
      <c r="AT49" s="318"/>
      <c r="AU49" s="325"/>
      <c r="AV49" s="325"/>
      <c r="AW49" s="325"/>
      <c r="AX49" s="315"/>
      <c r="AY49" s="321"/>
      <c r="AZ49" s="315"/>
      <c r="BA49" s="315"/>
      <c r="BB49" s="321"/>
      <c r="BC49" s="159"/>
      <c r="BD49" s="326"/>
      <c r="BE49" s="315"/>
      <c r="BF49" s="319"/>
      <c r="BG49" s="320"/>
      <c r="BH49" s="321"/>
      <c r="BI49" s="323"/>
      <c r="BJ49" s="262"/>
      <c r="BK49" s="342"/>
      <c r="BL49" s="320"/>
      <c r="BM49" s="321"/>
      <c r="BN49" s="321"/>
      <c r="BO49" s="321"/>
      <c r="BP49" s="321"/>
      <c r="BQ49" s="327"/>
      <c r="BR49" s="318"/>
      <c r="BS49" s="328"/>
      <c r="BT49" s="329"/>
      <c r="BU49" s="340"/>
      <c r="BV49" s="318"/>
      <c r="BW49" s="315"/>
      <c r="BX49" s="315"/>
      <c r="BY49" s="315"/>
      <c r="BZ49" s="315"/>
      <c r="CA49" s="315"/>
      <c r="CB49" s="315"/>
      <c r="CC49" s="330"/>
      <c r="CD49" s="318"/>
      <c r="CE49" s="315"/>
      <c r="CF49" s="315"/>
      <c r="CG49" s="319"/>
      <c r="CH49" s="318"/>
      <c r="CI49" s="319"/>
      <c r="CJ49" s="326"/>
      <c r="CK49" s="315"/>
      <c r="CL49" s="315"/>
      <c r="CM49" s="319"/>
      <c r="CN49" s="326"/>
      <c r="CO49" s="315"/>
      <c r="CP49" s="315"/>
      <c r="CQ49" s="315"/>
      <c r="CR49" s="319"/>
      <c r="CS49" s="318"/>
      <c r="CT49" s="331"/>
      <c r="CU49" s="188"/>
      <c r="CV49" s="332"/>
      <c r="CW49" s="333"/>
      <c r="CX49" s="334"/>
      <c r="CY49" s="318"/>
      <c r="CZ49" s="315"/>
      <c r="DA49" s="335"/>
      <c r="DB49" s="189"/>
      <c r="DC49" s="336"/>
      <c r="DD49" s="323"/>
      <c r="DE49" s="319"/>
      <c r="DF49" s="318"/>
      <c r="DG49" s="315"/>
      <c r="DH49" s="315"/>
      <c r="DI49" s="632"/>
      <c r="DJ49" s="633"/>
      <c r="DK49" s="318"/>
      <c r="DL49" s="315"/>
      <c r="DM49" s="315"/>
      <c r="DN49" s="315"/>
      <c r="DO49" s="315"/>
      <c r="DP49" s="315"/>
      <c r="DQ49" s="330"/>
      <c r="DR49" s="318"/>
      <c r="DS49" s="319"/>
      <c r="DT49" s="318"/>
      <c r="DU49" s="315"/>
      <c r="DV49" s="635"/>
      <c r="DW49" s="318"/>
      <c r="DX49" s="315"/>
      <c r="DY49" s="319"/>
      <c r="DZ49" s="318"/>
      <c r="EA49" s="315"/>
      <c r="EB49" s="315"/>
      <c r="EC49" s="315"/>
      <c r="ED49" s="330"/>
      <c r="EE49" s="318"/>
      <c r="EF49" s="319"/>
      <c r="EG49" s="326"/>
      <c r="EH49" s="315"/>
      <c r="EI49" s="635"/>
      <c r="EJ49" s="318"/>
      <c r="EK49" s="315"/>
      <c r="EL49" s="635"/>
      <c r="EM49" s="189"/>
      <c r="EN49" s="636"/>
      <c r="EO49" s="637"/>
      <c r="EP49" s="638"/>
      <c r="EQ49" s="315"/>
      <c r="ER49" s="315"/>
      <c r="ES49" s="319"/>
      <c r="ET49" s="639">
        <f t="shared" si="1"/>
        <v>1</v>
      </c>
      <c r="EU49" s="640"/>
      <c r="EV49" s="640">
        <f t="shared" si="2"/>
        <v>0</v>
      </c>
      <c r="EW49" s="640"/>
      <c r="EX49" s="641">
        <f t="shared" si="3"/>
        <v>0</v>
      </c>
    </row>
    <row r="50" spans="1:154" s="363" customFormat="1" ht="20.100000000000001" customHeight="1" x14ac:dyDescent="0.2">
      <c r="A50" s="646" t="s">
        <v>373</v>
      </c>
      <c r="B50" s="578" t="s">
        <v>484</v>
      </c>
      <c r="C50" s="312"/>
      <c r="D50" s="313" t="s">
        <v>485</v>
      </c>
      <c r="E50" s="312"/>
      <c r="F50" s="580" t="s">
        <v>486</v>
      </c>
      <c r="G50" s="581"/>
      <c r="H50" s="582" t="s">
        <v>487</v>
      </c>
      <c r="I50" s="627"/>
      <c r="J50" s="314"/>
      <c r="K50" s="315"/>
      <c r="L50" s="628"/>
      <c r="M50" s="629"/>
      <c r="N50" s="648"/>
      <c r="O50" s="317"/>
      <c r="P50" s="318"/>
      <c r="Q50" s="301"/>
      <c r="R50" s="301"/>
      <c r="S50" s="315"/>
      <c r="T50" s="315"/>
      <c r="U50" s="315"/>
      <c r="V50" s="315"/>
      <c r="W50" s="315"/>
      <c r="X50" s="315"/>
      <c r="Y50" s="315"/>
      <c r="Z50" s="315"/>
      <c r="AA50" s="319"/>
      <c r="AB50" s="320"/>
      <c r="AC50" s="315"/>
      <c r="AD50" s="315"/>
      <c r="AE50" s="315"/>
      <c r="AF50" s="315"/>
      <c r="AG50" s="321"/>
      <c r="AH50" s="322" t="str">
        <f t="shared" si="6"/>
        <v/>
      </c>
      <c r="AI50" s="323" t="str">
        <f>IF(ISNUMBER(AH50),100*AH50/(#REF!),"")</f>
        <v/>
      </c>
      <c r="AJ50" s="321"/>
      <c r="AK50" s="315"/>
      <c r="AL50" s="315"/>
      <c r="AM50" s="324"/>
      <c r="AN50" s="325"/>
      <c r="AO50" s="321"/>
      <c r="AP50" s="315"/>
      <c r="AQ50" s="321"/>
      <c r="AR50" s="321"/>
      <c r="AS50" s="649"/>
      <c r="AT50" s="318"/>
      <c r="AU50" s="325"/>
      <c r="AV50" s="325"/>
      <c r="AW50" s="325"/>
      <c r="AX50" s="315"/>
      <c r="AY50" s="321"/>
      <c r="AZ50" s="315"/>
      <c r="BA50" s="315"/>
      <c r="BB50" s="321"/>
      <c r="BC50" s="159"/>
      <c r="BD50" s="326"/>
      <c r="BE50" s="315"/>
      <c r="BF50" s="319"/>
      <c r="BG50" s="320"/>
      <c r="BH50" s="321"/>
      <c r="BI50" s="323"/>
      <c r="BJ50" s="262"/>
      <c r="BK50" s="342"/>
      <c r="BL50" s="320"/>
      <c r="BM50" s="321"/>
      <c r="BN50" s="321"/>
      <c r="BO50" s="321"/>
      <c r="BP50" s="321"/>
      <c r="BQ50" s="327"/>
      <c r="BR50" s="318"/>
      <c r="BS50" s="328"/>
      <c r="BT50" s="329"/>
      <c r="BU50" s="340"/>
      <c r="BV50" s="318"/>
      <c r="BW50" s="315"/>
      <c r="BX50" s="315"/>
      <c r="BY50" s="315"/>
      <c r="BZ50" s="315"/>
      <c r="CA50" s="315"/>
      <c r="CB50" s="315"/>
      <c r="CC50" s="330"/>
      <c r="CD50" s="318"/>
      <c r="CE50" s="315"/>
      <c r="CF50" s="315"/>
      <c r="CG50" s="319"/>
      <c r="CH50" s="318"/>
      <c r="CI50" s="319"/>
      <c r="CJ50" s="326"/>
      <c r="CK50" s="315"/>
      <c r="CL50" s="315"/>
      <c r="CM50" s="319"/>
      <c r="CN50" s="326"/>
      <c r="CO50" s="315"/>
      <c r="CP50" s="315"/>
      <c r="CQ50" s="315"/>
      <c r="CR50" s="319"/>
      <c r="CS50" s="318"/>
      <c r="CT50" s="331"/>
      <c r="CU50" s="188"/>
      <c r="CV50" s="332"/>
      <c r="CW50" s="333"/>
      <c r="CX50" s="334"/>
      <c r="CY50" s="318"/>
      <c r="CZ50" s="315"/>
      <c r="DA50" s="335"/>
      <c r="DB50" s="189"/>
      <c r="DC50" s="336"/>
      <c r="DD50" s="323"/>
      <c r="DE50" s="319"/>
      <c r="DF50" s="318"/>
      <c r="DG50" s="315"/>
      <c r="DH50" s="315"/>
      <c r="DI50" s="632"/>
      <c r="DJ50" s="633"/>
      <c r="DK50" s="318"/>
      <c r="DL50" s="315"/>
      <c r="DM50" s="315"/>
      <c r="DN50" s="315"/>
      <c r="DO50" s="315"/>
      <c r="DP50" s="315"/>
      <c r="DQ50" s="330"/>
      <c r="DR50" s="318"/>
      <c r="DS50" s="319"/>
      <c r="DT50" s="318"/>
      <c r="DU50" s="315"/>
      <c r="DV50" s="635"/>
      <c r="DW50" s="318"/>
      <c r="DX50" s="315"/>
      <c r="DY50" s="319"/>
      <c r="DZ50" s="318"/>
      <c r="EA50" s="315"/>
      <c r="EB50" s="315"/>
      <c r="EC50" s="315"/>
      <c r="ED50" s="330"/>
      <c r="EE50" s="318"/>
      <c r="EF50" s="319"/>
      <c r="EG50" s="326"/>
      <c r="EH50" s="315"/>
      <c r="EI50" s="635"/>
      <c r="EJ50" s="318"/>
      <c r="EK50" s="315"/>
      <c r="EL50" s="635"/>
      <c r="EM50" s="189"/>
      <c r="EN50" s="636"/>
      <c r="EO50" s="637"/>
      <c r="EP50" s="638"/>
      <c r="EQ50" s="315"/>
      <c r="ER50" s="315"/>
      <c r="ES50" s="319"/>
      <c r="ET50" s="639">
        <f t="shared" si="1"/>
        <v>1</v>
      </c>
      <c r="EU50" s="640"/>
      <c r="EV50" s="640">
        <f t="shared" si="2"/>
        <v>0</v>
      </c>
      <c r="EW50" s="640"/>
      <c r="EX50" s="641">
        <f t="shared" si="3"/>
        <v>0</v>
      </c>
    </row>
    <row r="51" spans="1:154" s="363" customFormat="1" ht="20.100000000000001" customHeight="1" x14ac:dyDescent="0.2">
      <c r="A51" s="646" t="s">
        <v>374</v>
      </c>
      <c r="B51" s="578" t="s">
        <v>484</v>
      </c>
      <c r="C51" s="312"/>
      <c r="D51" s="313" t="s">
        <v>485</v>
      </c>
      <c r="E51" s="312"/>
      <c r="F51" s="580" t="s">
        <v>486</v>
      </c>
      <c r="G51" s="581"/>
      <c r="H51" s="582" t="s">
        <v>487</v>
      </c>
      <c r="I51" s="627"/>
      <c r="J51" s="314"/>
      <c r="K51" s="315"/>
      <c r="L51" s="628"/>
      <c r="M51" s="629"/>
      <c r="N51" s="316"/>
      <c r="O51" s="317"/>
      <c r="P51" s="318"/>
      <c r="Q51" s="301"/>
      <c r="R51" s="301"/>
      <c r="S51" s="315"/>
      <c r="T51" s="315"/>
      <c r="U51" s="315"/>
      <c r="V51" s="315"/>
      <c r="W51" s="315"/>
      <c r="X51" s="315"/>
      <c r="Y51" s="315"/>
      <c r="Z51" s="315"/>
      <c r="AA51" s="319"/>
      <c r="AB51" s="320"/>
      <c r="AC51" s="315"/>
      <c r="AD51" s="315"/>
      <c r="AE51" s="315"/>
      <c r="AF51" s="315"/>
      <c r="AG51" s="321"/>
      <c r="AH51" s="322" t="str">
        <f t="shared" si="6"/>
        <v/>
      </c>
      <c r="AI51" s="323" t="str">
        <f>IF(ISNUMBER(AH51),100*AH51/(#REF!),"")</f>
        <v/>
      </c>
      <c r="AJ51" s="321"/>
      <c r="AK51" s="315"/>
      <c r="AL51" s="315"/>
      <c r="AM51" s="324"/>
      <c r="AN51" s="325"/>
      <c r="AO51" s="321"/>
      <c r="AP51" s="315"/>
      <c r="AQ51" s="321"/>
      <c r="AR51" s="321"/>
      <c r="AS51" s="339"/>
      <c r="AT51" s="318"/>
      <c r="AU51" s="325"/>
      <c r="AV51" s="325"/>
      <c r="AW51" s="325"/>
      <c r="AX51" s="315"/>
      <c r="AY51" s="321"/>
      <c r="AZ51" s="315"/>
      <c r="BA51" s="315"/>
      <c r="BB51" s="321"/>
      <c r="BC51" s="159"/>
      <c r="BD51" s="326"/>
      <c r="BE51" s="315"/>
      <c r="BF51" s="319"/>
      <c r="BG51" s="320"/>
      <c r="BH51" s="321"/>
      <c r="BI51" s="323"/>
      <c r="BJ51" s="262"/>
      <c r="BK51" s="342"/>
      <c r="BL51" s="320"/>
      <c r="BM51" s="321"/>
      <c r="BN51" s="321"/>
      <c r="BO51" s="321"/>
      <c r="BP51" s="321"/>
      <c r="BQ51" s="327"/>
      <c r="BR51" s="318"/>
      <c r="BS51" s="328"/>
      <c r="BT51" s="329"/>
      <c r="BU51" s="340"/>
      <c r="BV51" s="318"/>
      <c r="BW51" s="315"/>
      <c r="BX51" s="315"/>
      <c r="BY51" s="315"/>
      <c r="BZ51" s="315"/>
      <c r="CA51" s="315"/>
      <c r="CB51" s="315"/>
      <c r="CC51" s="330"/>
      <c r="CD51" s="318"/>
      <c r="CE51" s="315"/>
      <c r="CF51" s="315"/>
      <c r="CG51" s="319"/>
      <c r="CH51" s="318"/>
      <c r="CI51" s="319"/>
      <c r="CJ51" s="326"/>
      <c r="CK51" s="315"/>
      <c r="CL51" s="315"/>
      <c r="CM51" s="319"/>
      <c r="CN51" s="326"/>
      <c r="CO51" s="315"/>
      <c r="CP51" s="315"/>
      <c r="CQ51" s="315"/>
      <c r="CR51" s="319"/>
      <c r="CS51" s="318"/>
      <c r="CT51" s="331"/>
      <c r="CU51" s="188"/>
      <c r="CV51" s="332"/>
      <c r="CW51" s="333"/>
      <c r="CX51" s="334"/>
      <c r="CY51" s="318"/>
      <c r="CZ51" s="315"/>
      <c r="DA51" s="335"/>
      <c r="DB51" s="189"/>
      <c r="DC51" s="336"/>
      <c r="DD51" s="323"/>
      <c r="DE51" s="319"/>
      <c r="DF51" s="318"/>
      <c r="DG51" s="315"/>
      <c r="DH51" s="315"/>
      <c r="DI51" s="632"/>
      <c r="DJ51" s="633"/>
      <c r="DK51" s="318"/>
      <c r="DL51" s="315"/>
      <c r="DM51" s="315"/>
      <c r="DN51" s="315"/>
      <c r="DO51" s="315"/>
      <c r="DP51" s="315"/>
      <c r="DQ51" s="330"/>
      <c r="DR51" s="318"/>
      <c r="DS51" s="319"/>
      <c r="DT51" s="318"/>
      <c r="DU51" s="315"/>
      <c r="DV51" s="635"/>
      <c r="DW51" s="318"/>
      <c r="DX51" s="315"/>
      <c r="DY51" s="319"/>
      <c r="DZ51" s="318"/>
      <c r="EA51" s="315"/>
      <c r="EB51" s="315"/>
      <c r="EC51" s="315"/>
      <c r="ED51" s="330"/>
      <c r="EE51" s="318"/>
      <c r="EF51" s="319"/>
      <c r="EG51" s="326"/>
      <c r="EH51" s="315"/>
      <c r="EI51" s="635"/>
      <c r="EJ51" s="318"/>
      <c r="EK51" s="315"/>
      <c r="EL51" s="635"/>
      <c r="EM51" s="189"/>
      <c r="EN51" s="636"/>
      <c r="EO51" s="637"/>
      <c r="EP51" s="638"/>
      <c r="EQ51" s="315"/>
      <c r="ER51" s="315"/>
      <c r="ES51" s="319"/>
      <c r="ET51" s="639">
        <f t="shared" si="1"/>
        <v>1</v>
      </c>
      <c r="EU51" s="640"/>
      <c r="EV51" s="640">
        <f t="shared" si="2"/>
        <v>0</v>
      </c>
      <c r="EW51" s="640"/>
      <c r="EX51" s="641">
        <f t="shared" si="3"/>
        <v>0</v>
      </c>
    </row>
    <row r="52" spans="1:154" s="363" customFormat="1" ht="20.100000000000001" customHeight="1" x14ac:dyDescent="0.2">
      <c r="A52" s="646" t="s">
        <v>375</v>
      </c>
      <c r="B52" s="578" t="s">
        <v>484</v>
      </c>
      <c r="C52" s="312"/>
      <c r="D52" s="313" t="s">
        <v>485</v>
      </c>
      <c r="E52" s="312"/>
      <c r="F52" s="580" t="s">
        <v>486</v>
      </c>
      <c r="G52" s="581"/>
      <c r="H52" s="582" t="s">
        <v>487</v>
      </c>
      <c r="I52" s="627"/>
      <c r="J52" s="314"/>
      <c r="K52" s="315"/>
      <c r="L52" s="628"/>
      <c r="M52" s="629"/>
      <c r="N52" s="316"/>
      <c r="O52" s="317"/>
      <c r="P52" s="318"/>
      <c r="Q52" s="301"/>
      <c r="R52" s="301"/>
      <c r="S52" s="315"/>
      <c r="T52" s="315"/>
      <c r="U52" s="315"/>
      <c r="V52" s="315"/>
      <c r="W52" s="315"/>
      <c r="X52" s="315"/>
      <c r="Y52" s="315"/>
      <c r="Z52" s="315"/>
      <c r="AA52" s="319"/>
      <c r="AB52" s="320"/>
      <c r="AC52" s="315"/>
      <c r="AD52" s="315"/>
      <c r="AE52" s="315"/>
      <c r="AF52" s="315"/>
      <c r="AG52" s="321"/>
      <c r="AH52" s="322" t="str">
        <f t="shared" si="6"/>
        <v/>
      </c>
      <c r="AI52" s="323" t="str">
        <f>IF(ISNUMBER(AH52),100*AH52/(#REF!),"")</f>
        <v/>
      </c>
      <c r="AJ52" s="321"/>
      <c r="AK52" s="315"/>
      <c r="AL52" s="315"/>
      <c r="AM52" s="324"/>
      <c r="AN52" s="325"/>
      <c r="AO52" s="321"/>
      <c r="AP52" s="315"/>
      <c r="AQ52" s="321"/>
      <c r="AR52" s="321"/>
      <c r="AS52" s="339"/>
      <c r="AT52" s="318"/>
      <c r="AU52" s="325"/>
      <c r="AV52" s="325"/>
      <c r="AW52" s="325"/>
      <c r="AX52" s="315"/>
      <c r="AY52" s="321"/>
      <c r="AZ52" s="315"/>
      <c r="BA52" s="315"/>
      <c r="BB52" s="321"/>
      <c r="BC52" s="159"/>
      <c r="BD52" s="326"/>
      <c r="BE52" s="315"/>
      <c r="BF52" s="319"/>
      <c r="BG52" s="320"/>
      <c r="BH52" s="321"/>
      <c r="BI52" s="323"/>
      <c r="BJ52" s="262"/>
      <c r="BK52" s="342"/>
      <c r="BL52" s="320"/>
      <c r="BM52" s="321"/>
      <c r="BN52" s="321"/>
      <c r="BO52" s="321"/>
      <c r="BP52" s="321"/>
      <c r="BQ52" s="327"/>
      <c r="BR52" s="318"/>
      <c r="BS52" s="328"/>
      <c r="BT52" s="329"/>
      <c r="BU52" s="340"/>
      <c r="BV52" s="318"/>
      <c r="BW52" s="315"/>
      <c r="BX52" s="315"/>
      <c r="BY52" s="315"/>
      <c r="BZ52" s="315"/>
      <c r="CA52" s="315"/>
      <c r="CB52" s="315"/>
      <c r="CC52" s="330"/>
      <c r="CD52" s="318"/>
      <c r="CE52" s="315"/>
      <c r="CF52" s="315"/>
      <c r="CG52" s="319"/>
      <c r="CH52" s="318"/>
      <c r="CI52" s="319"/>
      <c r="CJ52" s="326"/>
      <c r="CK52" s="315"/>
      <c r="CL52" s="315"/>
      <c r="CM52" s="319"/>
      <c r="CN52" s="326"/>
      <c r="CO52" s="315"/>
      <c r="CP52" s="315"/>
      <c r="CQ52" s="315"/>
      <c r="CR52" s="319"/>
      <c r="CS52" s="318"/>
      <c r="CT52" s="331"/>
      <c r="CU52" s="188"/>
      <c r="CV52" s="332"/>
      <c r="CW52" s="333"/>
      <c r="CX52" s="334"/>
      <c r="CY52" s="318"/>
      <c r="CZ52" s="315"/>
      <c r="DA52" s="335"/>
      <c r="DB52" s="189"/>
      <c r="DC52" s="336"/>
      <c r="DD52" s="323"/>
      <c r="DE52" s="319"/>
      <c r="DF52" s="318"/>
      <c r="DG52" s="315"/>
      <c r="DH52" s="315"/>
      <c r="DI52" s="632"/>
      <c r="DJ52" s="633"/>
      <c r="DK52" s="318"/>
      <c r="DL52" s="315"/>
      <c r="DM52" s="315"/>
      <c r="DN52" s="315"/>
      <c r="DO52" s="315"/>
      <c r="DP52" s="315"/>
      <c r="DQ52" s="330"/>
      <c r="DR52" s="318"/>
      <c r="DS52" s="319"/>
      <c r="DT52" s="318"/>
      <c r="DU52" s="315"/>
      <c r="DV52" s="635"/>
      <c r="DW52" s="318"/>
      <c r="DX52" s="315"/>
      <c r="DY52" s="319"/>
      <c r="DZ52" s="318"/>
      <c r="EA52" s="315"/>
      <c r="EB52" s="315"/>
      <c r="EC52" s="315"/>
      <c r="ED52" s="330"/>
      <c r="EE52" s="318"/>
      <c r="EF52" s="319"/>
      <c r="EG52" s="326"/>
      <c r="EH52" s="315"/>
      <c r="EI52" s="635"/>
      <c r="EJ52" s="318"/>
      <c r="EK52" s="315"/>
      <c r="EL52" s="635"/>
      <c r="EM52" s="189"/>
      <c r="EN52" s="636"/>
      <c r="EO52" s="637"/>
      <c r="EP52" s="638"/>
      <c r="EQ52" s="315"/>
      <c r="ER52" s="315"/>
      <c r="ES52" s="319"/>
      <c r="ET52" s="639">
        <f t="shared" si="1"/>
        <v>1</v>
      </c>
      <c r="EU52" s="640"/>
      <c r="EV52" s="640">
        <f t="shared" si="2"/>
        <v>0</v>
      </c>
      <c r="EW52" s="640"/>
      <c r="EX52" s="641">
        <f t="shared" si="3"/>
        <v>0</v>
      </c>
    </row>
    <row r="53" spans="1:154" s="363" customFormat="1" ht="20.100000000000001" customHeight="1" x14ac:dyDescent="0.2">
      <c r="A53" s="646" t="s">
        <v>376</v>
      </c>
      <c r="B53" s="578" t="s">
        <v>484</v>
      </c>
      <c r="C53" s="312"/>
      <c r="D53" s="313" t="s">
        <v>485</v>
      </c>
      <c r="E53" s="312"/>
      <c r="F53" s="580" t="s">
        <v>486</v>
      </c>
      <c r="G53" s="581"/>
      <c r="H53" s="582" t="s">
        <v>487</v>
      </c>
      <c r="I53" s="627"/>
      <c r="J53" s="314"/>
      <c r="K53" s="315"/>
      <c r="L53" s="628"/>
      <c r="M53" s="629"/>
      <c r="N53" s="316"/>
      <c r="O53" s="317"/>
      <c r="P53" s="318"/>
      <c r="Q53" s="301"/>
      <c r="R53" s="301"/>
      <c r="S53" s="315"/>
      <c r="T53" s="315"/>
      <c r="U53" s="315"/>
      <c r="V53" s="315"/>
      <c r="W53" s="315"/>
      <c r="X53" s="315"/>
      <c r="Y53" s="315"/>
      <c r="Z53" s="315"/>
      <c r="AA53" s="319"/>
      <c r="AB53" s="320"/>
      <c r="AC53" s="315"/>
      <c r="AD53" s="315"/>
      <c r="AE53" s="315"/>
      <c r="AF53" s="315"/>
      <c r="AG53" s="321"/>
      <c r="AH53" s="322" t="str">
        <f t="shared" si="6"/>
        <v/>
      </c>
      <c r="AI53" s="323" t="str">
        <f>IF(ISNUMBER(AH53),100*AH53/(#REF!),"")</f>
        <v/>
      </c>
      <c r="AJ53" s="321"/>
      <c r="AK53" s="315"/>
      <c r="AL53" s="315"/>
      <c r="AM53" s="324"/>
      <c r="AN53" s="325"/>
      <c r="AO53" s="321"/>
      <c r="AP53" s="315"/>
      <c r="AQ53" s="321"/>
      <c r="AR53" s="321"/>
      <c r="AS53" s="339"/>
      <c r="AT53" s="318"/>
      <c r="AU53" s="325"/>
      <c r="AV53" s="325"/>
      <c r="AW53" s="325"/>
      <c r="AX53" s="315"/>
      <c r="AY53" s="321"/>
      <c r="AZ53" s="315"/>
      <c r="BA53" s="315"/>
      <c r="BB53" s="321"/>
      <c r="BC53" s="159"/>
      <c r="BD53" s="326"/>
      <c r="BE53" s="315"/>
      <c r="BF53" s="319"/>
      <c r="BG53" s="320"/>
      <c r="BH53" s="321"/>
      <c r="BI53" s="323"/>
      <c r="BJ53" s="262"/>
      <c r="BK53" s="342"/>
      <c r="BL53" s="320"/>
      <c r="BM53" s="321"/>
      <c r="BN53" s="321"/>
      <c r="BO53" s="321"/>
      <c r="BP53" s="321"/>
      <c r="BQ53" s="327"/>
      <c r="BR53" s="318"/>
      <c r="BS53" s="328"/>
      <c r="BT53" s="329"/>
      <c r="BU53" s="340"/>
      <c r="BV53" s="318"/>
      <c r="BW53" s="315"/>
      <c r="BX53" s="315"/>
      <c r="BY53" s="315"/>
      <c r="BZ53" s="315"/>
      <c r="CA53" s="315"/>
      <c r="CB53" s="315"/>
      <c r="CC53" s="330"/>
      <c r="CD53" s="318"/>
      <c r="CE53" s="315"/>
      <c r="CF53" s="315"/>
      <c r="CG53" s="319"/>
      <c r="CH53" s="318"/>
      <c r="CI53" s="319"/>
      <c r="CJ53" s="326"/>
      <c r="CK53" s="315"/>
      <c r="CL53" s="315"/>
      <c r="CM53" s="319"/>
      <c r="CN53" s="326"/>
      <c r="CO53" s="315"/>
      <c r="CP53" s="315"/>
      <c r="CQ53" s="315"/>
      <c r="CR53" s="319"/>
      <c r="CS53" s="318"/>
      <c r="CT53" s="331"/>
      <c r="CU53" s="188"/>
      <c r="CV53" s="332"/>
      <c r="CW53" s="333"/>
      <c r="CX53" s="334"/>
      <c r="CY53" s="318"/>
      <c r="CZ53" s="315"/>
      <c r="DA53" s="335"/>
      <c r="DB53" s="189"/>
      <c r="DC53" s="336"/>
      <c r="DD53" s="323"/>
      <c r="DE53" s="319"/>
      <c r="DF53" s="318"/>
      <c r="DG53" s="315"/>
      <c r="DH53" s="315"/>
      <c r="DI53" s="632"/>
      <c r="DJ53" s="633"/>
      <c r="DK53" s="318"/>
      <c r="DL53" s="315"/>
      <c r="DM53" s="315"/>
      <c r="DN53" s="315"/>
      <c r="DO53" s="315"/>
      <c r="DP53" s="315"/>
      <c r="DQ53" s="330"/>
      <c r="DR53" s="318"/>
      <c r="DS53" s="319"/>
      <c r="DT53" s="318"/>
      <c r="DU53" s="315"/>
      <c r="DV53" s="635"/>
      <c r="DW53" s="318"/>
      <c r="DX53" s="315"/>
      <c r="DY53" s="319"/>
      <c r="DZ53" s="318"/>
      <c r="EA53" s="315"/>
      <c r="EB53" s="315"/>
      <c r="EC53" s="315"/>
      <c r="ED53" s="330"/>
      <c r="EE53" s="318"/>
      <c r="EF53" s="319"/>
      <c r="EG53" s="326"/>
      <c r="EH53" s="315"/>
      <c r="EI53" s="635"/>
      <c r="EJ53" s="318"/>
      <c r="EK53" s="315"/>
      <c r="EL53" s="635"/>
      <c r="EM53" s="189"/>
      <c r="EN53" s="636"/>
      <c r="EO53" s="637"/>
      <c r="EP53" s="638"/>
      <c r="EQ53" s="315"/>
      <c r="ER53" s="315"/>
      <c r="ES53" s="319"/>
      <c r="ET53" s="639">
        <f t="shared" si="1"/>
        <v>1</v>
      </c>
      <c r="EU53" s="640"/>
      <c r="EV53" s="640">
        <f t="shared" si="2"/>
        <v>0</v>
      </c>
      <c r="EW53" s="640"/>
      <c r="EX53" s="641">
        <f t="shared" si="3"/>
        <v>0</v>
      </c>
    </row>
    <row r="54" spans="1:154" s="363" customFormat="1" ht="20.100000000000001" customHeight="1" x14ac:dyDescent="0.2">
      <c r="A54" s="646" t="s">
        <v>377</v>
      </c>
      <c r="B54" s="578" t="s">
        <v>484</v>
      </c>
      <c r="C54" s="312"/>
      <c r="D54" s="313" t="s">
        <v>485</v>
      </c>
      <c r="E54" s="312"/>
      <c r="F54" s="580" t="s">
        <v>486</v>
      </c>
      <c r="G54" s="581"/>
      <c r="H54" s="582" t="s">
        <v>487</v>
      </c>
      <c r="I54" s="627"/>
      <c r="J54" s="314"/>
      <c r="K54" s="315"/>
      <c r="L54" s="628"/>
      <c r="M54" s="629"/>
      <c r="N54" s="316"/>
      <c r="O54" s="317"/>
      <c r="P54" s="318"/>
      <c r="Q54" s="301"/>
      <c r="R54" s="301"/>
      <c r="S54" s="315"/>
      <c r="T54" s="315"/>
      <c r="U54" s="315"/>
      <c r="V54" s="315"/>
      <c r="W54" s="315"/>
      <c r="X54" s="315"/>
      <c r="Y54" s="315"/>
      <c r="Z54" s="315"/>
      <c r="AA54" s="319"/>
      <c r="AB54" s="320"/>
      <c r="AC54" s="315"/>
      <c r="AD54" s="315"/>
      <c r="AE54" s="315"/>
      <c r="AF54" s="315"/>
      <c r="AG54" s="321"/>
      <c r="AH54" s="322" t="str">
        <f t="shared" si="6"/>
        <v/>
      </c>
      <c r="AI54" s="323" t="str">
        <f>IF(ISNUMBER(AH54),100*AH54/(#REF!),"")</f>
        <v/>
      </c>
      <c r="AJ54" s="321"/>
      <c r="AK54" s="315"/>
      <c r="AL54" s="315"/>
      <c r="AM54" s="324"/>
      <c r="AN54" s="325"/>
      <c r="AO54" s="321"/>
      <c r="AP54" s="315"/>
      <c r="AQ54" s="321"/>
      <c r="AR54" s="321"/>
      <c r="AS54" s="339"/>
      <c r="AT54" s="318"/>
      <c r="AU54" s="325"/>
      <c r="AV54" s="325"/>
      <c r="AW54" s="325"/>
      <c r="AX54" s="315"/>
      <c r="AY54" s="321"/>
      <c r="AZ54" s="315"/>
      <c r="BA54" s="315"/>
      <c r="BB54" s="321"/>
      <c r="BC54" s="159"/>
      <c r="BD54" s="326"/>
      <c r="BE54" s="315"/>
      <c r="BF54" s="319"/>
      <c r="BG54" s="320"/>
      <c r="BH54" s="321"/>
      <c r="BI54" s="323"/>
      <c r="BJ54" s="262"/>
      <c r="BK54" s="342"/>
      <c r="BL54" s="320"/>
      <c r="BM54" s="321"/>
      <c r="BN54" s="321"/>
      <c r="BO54" s="321"/>
      <c r="BP54" s="321"/>
      <c r="BQ54" s="327"/>
      <c r="BR54" s="318"/>
      <c r="BS54" s="328"/>
      <c r="BT54" s="329"/>
      <c r="BU54" s="340"/>
      <c r="BV54" s="318"/>
      <c r="BW54" s="315"/>
      <c r="BX54" s="315"/>
      <c r="BY54" s="315"/>
      <c r="BZ54" s="315"/>
      <c r="CA54" s="315"/>
      <c r="CB54" s="315"/>
      <c r="CC54" s="330"/>
      <c r="CD54" s="318"/>
      <c r="CE54" s="315"/>
      <c r="CF54" s="315"/>
      <c r="CG54" s="319"/>
      <c r="CH54" s="318"/>
      <c r="CI54" s="319"/>
      <c r="CJ54" s="326"/>
      <c r="CK54" s="315"/>
      <c r="CL54" s="315"/>
      <c r="CM54" s="319"/>
      <c r="CN54" s="326"/>
      <c r="CO54" s="315"/>
      <c r="CP54" s="315"/>
      <c r="CQ54" s="315"/>
      <c r="CR54" s="319"/>
      <c r="CS54" s="318"/>
      <c r="CT54" s="331"/>
      <c r="CU54" s="188"/>
      <c r="CV54" s="332"/>
      <c r="CW54" s="333"/>
      <c r="CX54" s="334"/>
      <c r="CY54" s="318"/>
      <c r="CZ54" s="315"/>
      <c r="DA54" s="335"/>
      <c r="DB54" s="189"/>
      <c r="DC54" s="336"/>
      <c r="DD54" s="323"/>
      <c r="DE54" s="319"/>
      <c r="DF54" s="318"/>
      <c r="DG54" s="315"/>
      <c r="DH54" s="315"/>
      <c r="DI54" s="632"/>
      <c r="DJ54" s="633"/>
      <c r="DK54" s="318"/>
      <c r="DL54" s="315"/>
      <c r="DM54" s="315"/>
      <c r="DN54" s="315"/>
      <c r="DO54" s="315"/>
      <c r="DP54" s="315"/>
      <c r="DQ54" s="330"/>
      <c r="DR54" s="318"/>
      <c r="DS54" s="319"/>
      <c r="DT54" s="318"/>
      <c r="DU54" s="315"/>
      <c r="DV54" s="635"/>
      <c r="DW54" s="318"/>
      <c r="DX54" s="315"/>
      <c r="DY54" s="319"/>
      <c r="DZ54" s="318"/>
      <c r="EA54" s="315"/>
      <c r="EB54" s="315"/>
      <c r="EC54" s="315"/>
      <c r="ED54" s="330"/>
      <c r="EE54" s="318"/>
      <c r="EF54" s="319"/>
      <c r="EG54" s="326"/>
      <c r="EH54" s="315"/>
      <c r="EI54" s="635"/>
      <c r="EJ54" s="318"/>
      <c r="EK54" s="315"/>
      <c r="EL54" s="635"/>
      <c r="EM54" s="189"/>
      <c r="EN54" s="636"/>
      <c r="EO54" s="637"/>
      <c r="EP54" s="638"/>
      <c r="EQ54" s="315"/>
      <c r="ER54" s="315"/>
      <c r="ES54" s="319"/>
      <c r="ET54" s="639">
        <f t="shared" si="1"/>
        <v>1</v>
      </c>
      <c r="EU54" s="640"/>
      <c r="EV54" s="640">
        <f t="shared" si="2"/>
        <v>0</v>
      </c>
      <c r="EW54" s="640"/>
      <c r="EX54" s="641">
        <f t="shared" si="3"/>
        <v>0</v>
      </c>
    </row>
    <row r="55" spans="1:154" s="363" customFormat="1" ht="20.100000000000001" customHeight="1" x14ac:dyDescent="0.2">
      <c r="A55" s="646" t="s">
        <v>378</v>
      </c>
      <c r="B55" s="578" t="s">
        <v>484</v>
      </c>
      <c r="C55" s="312"/>
      <c r="D55" s="313" t="s">
        <v>485</v>
      </c>
      <c r="E55" s="312"/>
      <c r="F55" s="580" t="s">
        <v>486</v>
      </c>
      <c r="G55" s="581"/>
      <c r="H55" s="582" t="s">
        <v>487</v>
      </c>
      <c r="I55" s="627"/>
      <c r="J55" s="314"/>
      <c r="K55" s="315"/>
      <c r="L55" s="628"/>
      <c r="M55" s="629"/>
      <c r="N55" s="316"/>
      <c r="O55" s="317"/>
      <c r="P55" s="318"/>
      <c r="Q55" s="301"/>
      <c r="R55" s="301"/>
      <c r="S55" s="315"/>
      <c r="T55" s="315"/>
      <c r="U55" s="315"/>
      <c r="V55" s="315"/>
      <c r="W55" s="315"/>
      <c r="X55" s="315"/>
      <c r="Y55" s="315"/>
      <c r="Z55" s="315"/>
      <c r="AA55" s="319"/>
      <c r="AB55" s="320"/>
      <c r="AC55" s="315"/>
      <c r="AD55" s="315"/>
      <c r="AE55" s="315"/>
      <c r="AF55" s="315"/>
      <c r="AG55" s="321"/>
      <c r="AH55" s="322" t="str">
        <f t="shared" si="6"/>
        <v/>
      </c>
      <c r="AI55" s="323" t="str">
        <f>IF(ISNUMBER(AH55),100*AH55/(#REF!),"")</f>
        <v/>
      </c>
      <c r="AJ55" s="321"/>
      <c r="AK55" s="315"/>
      <c r="AL55" s="315"/>
      <c r="AM55" s="324"/>
      <c r="AN55" s="325"/>
      <c r="AO55" s="321"/>
      <c r="AP55" s="315"/>
      <c r="AQ55" s="321"/>
      <c r="AR55" s="321"/>
      <c r="AS55" s="339"/>
      <c r="AT55" s="318"/>
      <c r="AU55" s="325"/>
      <c r="AV55" s="325"/>
      <c r="AW55" s="325"/>
      <c r="AX55" s="315"/>
      <c r="AY55" s="321"/>
      <c r="AZ55" s="315"/>
      <c r="BA55" s="315"/>
      <c r="BB55" s="321"/>
      <c r="BC55" s="159"/>
      <c r="BD55" s="326"/>
      <c r="BE55" s="315"/>
      <c r="BF55" s="319"/>
      <c r="BG55" s="320"/>
      <c r="BH55" s="321"/>
      <c r="BI55" s="323"/>
      <c r="BJ55" s="262"/>
      <c r="BK55" s="342"/>
      <c r="BL55" s="320"/>
      <c r="BM55" s="321"/>
      <c r="BN55" s="321"/>
      <c r="BO55" s="321"/>
      <c r="BP55" s="321"/>
      <c r="BQ55" s="327"/>
      <c r="BR55" s="318"/>
      <c r="BS55" s="328"/>
      <c r="BT55" s="329"/>
      <c r="BU55" s="340"/>
      <c r="BV55" s="318"/>
      <c r="BW55" s="315"/>
      <c r="BX55" s="315"/>
      <c r="BY55" s="315"/>
      <c r="BZ55" s="315"/>
      <c r="CA55" s="315"/>
      <c r="CB55" s="315"/>
      <c r="CC55" s="330"/>
      <c r="CD55" s="318"/>
      <c r="CE55" s="315"/>
      <c r="CF55" s="315"/>
      <c r="CG55" s="319"/>
      <c r="CH55" s="318"/>
      <c r="CI55" s="319"/>
      <c r="CJ55" s="326"/>
      <c r="CK55" s="315"/>
      <c r="CL55" s="315"/>
      <c r="CM55" s="319"/>
      <c r="CN55" s="326"/>
      <c r="CO55" s="315"/>
      <c r="CP55" s="315"/>
      <c r="CQ55" s="315"/>
      <c r="CR55" s="319"/>
      <c r="CS55" s="318"/>
      <c r="CT55" s="331"/>
      <c r="CU55" s="188"/>
      <c r="CV55" s="332"/>
      <c r="CW55" s="333"/>
      <c r="CX55" s="334"/>
      <c r="CY55" s="318"/>
      <c r="CZ55" s="315"/>
      <c r="DA55" s="335"/>
      <c r="DB55" s="189"/>
      <c r="DC55" s="336"/>
      <c r="DD55" s="323"/>
      <c r="DE55" s="319"/>
      <c r="DF55" s="318"/>
      <c r="DG55" s="315"/>
      <c r="DH55" s="315"/>
      <c r="DI55" s="632"/>
      <c r="DJ55" s="633"/>
      <c r="DK55" s="318"/>
      <c r="DL55" s="315"/>
      <c r="DM55" s="315"/>
      <c r="DN55" s="315"/>
      <c r="DO55" s="315"/>
      <c r="DP55" s="315"/>
      <c r="DQ55" s="330"/>
      <c r="DR55" s="318"/>
      <c r="DS55" s="319"/>
      <c r="DT55" s="318"/>
      <c r="DU55" s="315"/>
      <c r="DV55" s="635"/>
      <c r="DW55" s="318"/>
      <c r="DX55" s="315"/>
      <c r="DY55" s="319"/>
      <c r="DZ55" s="318"/>
      <c r="EA55" s="315"/>
      <c r="EB55" s="315"/>
      <c r="EC55" s="315"/>
      <c r="ED55" s="330"/>
      <c r="EE55" s="318"/>
      <c r="EF55" s="319"/>
      <c r="EG55" s="326"/>
      <c r="EH55" s="315"/>
      <c r="EI55" s="635"/>
      <c r="EJ55" s="318"/>
      <c r="EK55" s="315"/>
      <c r="EL55" s="635"/>
      <c r="EM55" s="189"/>
      <c r="EN55" s="636"/>
      <c r="EO55" s="637"/>
      <c r="EP55" s="638"/>
      <c r="EQ55" s="315"/>
      <c r="ER55" s="315"/>
      <c r="ES55" s="319"/>
      <c r="ET55" s="639">
        <f t="shared" si="1"/>
        <v>1</v>
      </c>
      <c r="EU55" s="640"/>
      <c r="EV55" s="640">
        <f t="shared" si="2"/>
        <v>0</v>
      </c>
      <c r="EW55" s="640"/>
      <c r="EX55" s="641">
        <f t="shared" si="3"/>
        <v>0</v>
      </c>
    </row>
    <row r="56" spans="1:154" s="363" customFormat="1" ht="20.100000000000001" customHeight="1" x14ac:dyDescent="0.2">
      <c r="A56" s="646" t="s">
        <v>379</v>
      </c>
      <c r="B56" s="578" t="s">
        <v>484</v>
      </c>
      <c r="C56" s="312"/>
      <c r="D56" s="313" t="s">
        <v>485</v>
      </c>
      <c r="E56" s="312"/>
      <c r="F56" s="580" t="s">
        <v>486</v>
      </c>
      <c r="G56" s="581"/>
      <c r="H56" s="582" t="s">
        <v>487</v>
      </c>
      <c r="I56" s="627"/>
      <c r="J56" s="314"/>
      <c r="K56" s="315"/>
      <c r="L56" s="628"/>
      <c r="M56" s="629"/>
      <c r="N56" s="316"/>
      <c r="O56" s="317"/>
      <c r="P56" s="318"/>
      <c r="Q56" s="301"/>
      <c r="R56" s="301"/>
      <c r="S56" s="315"/>
      <c r="T56" s="315"/>
      <c r="U56" s="315"/>
      <c r="V56" s="315"/>
      <c r="W56" s="315"/>
      <c r="X56" s="315"/>
      <c r="Y56" s="315"/>
      <c r="Z56" s="315"/>
      <c r="AA56" s="319"/>
      <c r="AB56" s="320"/>
      <c r="AC56" s="315"/>
      <c r="AD56" s="315"/>
      <c r="AE56" s="315"/>
      <c r="AF56" s="315"/>
      <c r="AG56" s="321"/>
      <c r="AH56" s="322" t="str">
        <f t="shared" si="6"/>
        <v/>
      </c>
      <c r="AI56" s="323" t="str">
        <f>IF(ISNUMBER(AH56),100*AH56/(#REF!),"")</f>
        <v/>
      </c>
      <c r="AJ56" s="321"/>
      <c r="AK56" s="315"/>
      <c r="AL56" s="315"/>
      <c r="AM56" s="324"/>
      <c r="AN56" s="325"/>
      <c r="AO56" s="321"/>
      <c r="AP56" s="315"/>
      <c r="AQ56" s="321"/>
      <c r="AR56" s="321"/>
      <c r="AS56" s="339"/>
      <c r="AT56" s="318"/>
      <c r="AU56" s="325"/>
      <c r="AV56" s="325"/>
      <c r="AW56" s="325"/>
      <c r="AX56" s="315"/>
      <c r="AY56" s="321"/>
      <c r="AZ56" s="315"/>
      <c r="BA56" s="315"/>
      <c r="BB56" s="321"/>
      <c r="BC56" s="159"/>
      <c r="BD56" s="326"/>
      <c r="BE56" s="315"/>
      <c r="BF56" s="319"/>
      <c r="BG56" s="320"/>
      <c r="BH56" s="321"/>
      <c r="BI56" s="323"/>
      <c r="BJ56" s="262"/>
      <c r="BK56" s="342"/>
      <c r="BL56" s="320"/>
      <c r="BM56" s="321"/>
      <c r="BN56" s="321"/>
      <c r="BO56" s="321"/>
      <c r="BP56" s="321"/>
      <c r="BQ56" s="327"/>
      <c r="BR56" s="318"/>
      <c r="BS56" s="328"/>
      <c r="BT56" s="329"/>
      <c r="BU56" s="340"/>
      <c r="BV56" s="318"/>
      <c r="BW56" s="315"/>
      <c r="BX56" s="315"/>
      <c r="BY56" s="315"/>
      <c r="BZ56" s="315"/>
      <c r="CA56" s="315"/>
      <c r="CB56" s="315"/>
      <c r="CC56" s="330"/>
      <c r="CD56" s="318"/>
      <c r="CE56" s="315"/>
      <c r="CF56" s="315"/>
      <c r="CG56" s="319"/>
      <c r="CH56" s="318"/>
      <c r="CI56" s="319"/>
      <c r="CJ56" s="326"/>
      <c r="CK56" s="315"/>
      <c r="CL56" s="315"/>
      <c r="CM56" s="319"/>
      <c r="CN56" s="326"/>
      <c r="CO56" s="315"/>
      <c r="CP56" s="315"/>
      <c r="CQ56" s="315"/>
      <c r="CR56" s="319"/>
      <c r="CS56" s="318"/>
      <c r="CT56" s="331"/>
      <c r="CU56" s="188"/>
      <c r="CV56" s="332"/>
      <c r="CW56" s="333"/>
      <c r="CX56" s="334"/>
      <c r="CY56" s="318"/>
      <c r="CZ56" s="315"/>
      <c r="DA56" s="335"/>
      <c r="DB56" s="189"/>
      <c r="DC56" s="336"/>
      <c r="DD56" s="323"/>
      <c r="DE56" s="319"/>
      <c r="DF56" s="318"/>
      <c r="DG56" s="315"/>
      <c r="DH56" s="315"/>
      <c r="DI56" s="632"/>
      <c r="DJ56" s="633"/>
      <c r="DK56" s="318"/>
      <c r="DL56" s="315"/>
      <c r="DM56" s="315"/>
      <c r="DN56" s="315"/>
      <c r="DO56" s="315"/>
      <c r="DP56" s="315"/>
      <c r="DQ56" s="330"/>
      <c r="DR56" s="318"/>
      <c r="DS56" s="319"/>
      <c r="DT56" s="318"/>
      <c r="DU56" s="315"/>
      <c r="DV56" s="635"/>
      <c r="DW56" s="318"/>
      <c r="DX56" s="315"/>
      <c r="DY56" s="319"/>
      <c r="DZ56" s="318"/>
      <c r="EA56" s="315"/>
      <c r="EB56" s="315"/>
      <c r="EC56" s="315"/>
      <c r="ED56" s="330"/>
      <c r="EE56" s="318"/>
      <c r="EF56" s="319"/>
      <c r="EG56" s="326"/>
      <c r="EH56" s="315"/>
      <c r="EI56" s="635"/>
      <c r="EJ56" s="318"/>
      <c r="EK56" s="315"/>
      <c r="EL56" s="635"/>
      <c r="EM56" s="189"/>
      <c r="EN56" s="636"/>
      <c r="EO56" s="637"/>
      <c r="EP56" s="638"/>
      <c r="EQ56" s="315"/>
      <c r="ER56" s="315"/>
      <c r="ES56" s="319"/>
      <c r="ET56" s="639">
        <f t="shared" si="1"/>
        <v>1</v>
      </c>
      <c r="EU56" s="640"/>
      <c r="EV56" s="640">
        <f t="shared" si="2"/>
        <v>0</v>
      </c>
      <c r="EW56" s="640"/>
      <c r="EX56" s="641">
        <f t="shared" si="3"/>
        <v>0</v>
      </c>
    </row>
    <row r="57" spans="1:154" s="363" customFormat="1" ht="20.100000000000001" customHeight="1" x14ac:dyDescent="0.2">
      <c r="A57" s="646" t="s">
        <v>380</v>
      </c>
      <c r="B57" s="578" t="s">
        <v>484</v>
      </c>
      <c r="C57" s="312"/>
      <c r="D57" s="313" t="s">
        <v>485</v>
      </c>
      <c r="E57" s="312"/>
      <c r="F57" s="580" t="s">
        <v>486</v>
      </c>
      <c r="G57" s="581"/>
      <c r="H57" s="582" t="s">
        <v>487</v>
      </c>
      <c r="I57" s="627"/>
      <c r="J57" s="314"/>
      <c r="K57" s="315"/>
      <c r="L57" s="628"/>
      <c r="M57" s="629"/>
      <c r="N57" s="316"/>
      <c r="O57" s="317"/>
      <c r="P57" s="318"/>
      <c r="Q57" s="301"/>
      <c r="R57" s="301"/>
      <c r="S57" s="315"/>
      <c r="T57" s="315"/>
      <c r="U57" s="315"/>
      <c r="V57" s="315"/>
      <c r="W57" s="315"/>
      <c r="X57" s="315"/>
      <c r="Y57" s="315"/>
      <c r="Z57" s="315"/>
      <c r="AA57" s="319"/>
      <c r="AB57" s="320"/>
      <c r="AC57" s="315"/>
      <c r="AD57" s="315"/>
      <c r="AE57" s="315"/>
      <c r="AF57" s="315"/>
      <c r="AG57" s="321"/>
      <c r="AH57" s="322" t="str">
        <f t="shared" si="6"/>
        <v/>
      </c>
      <c r="AI57" s="323" t="str">
        <f>IF(ISNUMBER(AH57),100*AH57/(#REF!),"")</f>
        <v/>
      </c>
      <c r="AJ57" s="321"/>
      <c r="AK57" s="315"/>
      <c r="AL57" s="315"/>
      <c r="AM57" s="324"/>
      <c r="AN57" s="325"/>
      <c r="AO57" s="321"/>
      <c r="AP57" s="315"/>
      <c r="AQ57" s="321"/>
      <c r="AR57" s="321"/>
      <c r="AS57" s="339"/>
      <c r="AT57" s="318"/>
      <c r="AU57" s="325"/>
      <c r="AV57" s="325"/>
      <c r="AW57" s="325"/>
      <c r="AX57" s="315"/>
      <c r="AY57" s="321"/>
      <c r="AZ57" s="315"/>
      <c r="BA57" s="315"/>
      <c r="BB57" s="321"/>
      <c r="BC57" s="159"/>
      <c r="BD57" s="326"/>
      <c r="BE57" s="315"/>
      <c r="BF57" s="319"/>
      <c r="BG57" s="320"/>
      <c r="BH57" s="321"/>
      <c r="BI57" s="323"/>
      <c r="BJ57" s="262"/>
      <c r="BK57" s="342"/>
      <c r="BL57" s="320"/>
      <c r="BM57" s="321"/>
      <c r="BN57" s="321"/>
      <c r="BO57" s="321"/>
      <c r="BP57" s="321"/>
      <c r="BQ57" s="327"/>
      <c r="BR57" s="318"/>
      <c r="BS57" s="328"/>
      <c r="BT57" s="329"/>
      <c r="BU57" s="340"/>
      <c r="BV57" s="318"/>
      <c r="BW57" s="315"/>
      <c r="BX57" s="315"/>
      <c r="BY57" s="315"/>
      <c r="BZ57" s="315"/>
      <c r="CA57" s="315"/>
      <c r="CB57" s="315"/>
      <c r="CC57" s="330"/>
      <c r="CD57" s="318"/>
      <c r="CE57" s="315"/>
      <c r="CF57" s="315"/>
      <c r="CG57" s="319"/>
      <c r="CH57" s="318"/>
      <c r="CI57" s="319"/>
      <c r="CJ57" s="326"/>
      <c r="CK57" s="315"/>
      <c r="CL57" s="315"/>
      <c r="CM57" s="319"/>
      <c r="CN57" s="326"/>
      <c r="CO57" s="315"/>
      <c r="CP57" s="315"/>
      <c r="CQ57" s="315"/>
      <c r="CR57" s="319"/>
      <c r="CS57" s="318"/>
      <c r="CT57" s="331"/>
      <c r="CU57" s="188"/>
      <c r="CV57" s="332"/>
      <c r="CW57" s="333"/>
      <c r="CX57" s="334"/>
      <c r="CY57" s="318"/>
      <c r="CZ57" s="315"/>
      <c r="DA57" s="335"/>
      <c r="DB57" s="189"/>
      <c r="DC57" s="336"/>
      <c r="DD57" s="323"/>
      <c r="DE57" s="319"/>
      <c r="DF57" s="318"/>
      <c r="DG57" s="315"/>
      <c r="DH57" s="315"/>
      <c r="DI57" s="632"/>
      <c r="DJ57" s="633"/>
      <c r="DK57" s="318"/>
      <c r="DL57" s="315"/>
      <c r="DM57" s="315"/>
      <c r="DN57" s="315"/>
      <c r="DO57" s="315"/>
      <c r="DP57" s="315"/>
      <c r="DQ57" s="330"/>
      <c r="DR57" s="318"/>
      <c r="DS57" s="319"/>
      <c r="DT57" s="318"/>
      <c r="DU57" s="315"/>
      <c r="DV57" s="635"/>
      <c r="DW57" s="318"/>
      <c r="DX57" s="315"/>
      <c r="DY57" s="319"/>
      <c r="DZ57" s="318"/>
      <c r="EA57" s="315"/>
      <c r="EB57" s="315"/>
      <c r="EC57" s="315"/>
      <c r="ED57" s="330"/>
      <c r="EE57" s="318"/>
      <c r="EF57" s="319"/>
      <c r="EG57" s="326"/>
      <c r="EH57" s="315"/>
      <c r="EI57" s="635"/>
      <c r="EJ57" s="318"/>
      <c r="EK57" s="315"/>
      <c r="EL57" s="635"/>
      <c r="EM57" s="189"/>
      <c r="EN57" s="636"/>
      <c r="EO57" s="637"/>
      <c r="EP57" s="638"/>
      <c r="EQ57" s="315"/>
      <c r="ER57" s="315"/>
      <c r="ES57" s="319"/>
      <c r="ET57" s="639">
        <f t="shared" si="1"/>
        <v>1</v>
      </c>
      <c r="EU57" s="640"/>
      <c r="EV57" s="640">
        <f t="shared" si="2"/>
        <v>0</v>
      </c>
      <c r="EW57" s="640"/>
      <c r="EX57" s="641">
        <f t="shared" si="3"/>
        <v>0</v>
      </c>
    </row>
    <row r="58" spans="1:154" s="363" customFormat="1" ht="20.100000000000001" customHeight="1" x14ac:dyDescent="0.2">
      <c r="A58" s="646" t="s">
        <v>381</v>
      </c>
      <c r="B58" s="578" t="s">
        <v>484</v>
      </c>
      <c r="C58" s="312"/>
      <c r="D58" s="313" t="s">
        <v>485</v>
      </c>
      <c r="E58" s="312"/>
      <c r="F58" s="580" t="s">
        <v>486</v>
      </c>
      <c r="G58" s="581"/>
      <c r="H58" s="582" t="s">
        <v>487</v>
      </c>
      <c r="I58" s="627"/>
      <c r="J58" s="314"/>
      <c r="K58" s="315"/>
      <c r="L58" s="628"/>
      <c r="M58" s="629"/>
      <c r="N58" s="316"/>
      <c r="O58" s="317"/>
      <c r="P58" s="318"/>
      <c r="Q58" s="301"/>
      <c r="R58" s="301"/>
      <c r="S58" s="315"/>
      <c r="T58" s="315"/>
      <c r="U58" s="315"/>
      <c r="V58" s="315"/>
      <c r="W58" s="315"/>
      <c r="X58" s="315"/>
      <c r="Y58" s="315"/>
      <c r="Z58" s="315"/>
      <c r="AA58" s="319"/>
      <c r="AB58" s="320"/>
      <c r="AC58" s="315"/>
      <c r="AD58" s="315"/>
      <c r="AE58" s="315"/>
      <c r="AF58" s="315"/>
      <c r="AG58" s="321"/>
      <c r="AH58" s="322" t="str">
        <f t="shared" si="6"/>
        <v/>
      </c>
      <c r="AI58" s="323" t="str">
        <f>IF(ISNUMBER(AH58),100*AH58/(#REF!),"")</f>
        <v/>
      </c>
      <c r="AJ58" s="321"/>
      <c r="AK58" s="315"/>
      <c r="AL58" s="315"/>
      <c r="AM58" s="324"/>
      <c r="AN58" s="325"/>
      <c r="AO58" s="321"/>
      <c r="AP58" s="315"/>
      <c r="AQ58" s="321"/>
      <c r="AR58" s="321"/>
      <c r="AS58" s="339"/>
      <c r="AT58" s="318"/>
      <c r="AU58" s="325"/>
      <c r="AV58" s="325"/>
      <c r="AW58" s="325"/>
      <c r="AX58" s="315"/>
      <c r="AY58" s="321"/>
      <c r="AZ58" s="315"/>
      <c r="BA58" s="315"/>
      <c r="BB58" s="321"/>
      <c r="BC58" s="159"/>
      <c r="BD58" s="326"/>
      <c r="BE58" s="315"/>
      <c r="BF58" s="319"/>
      <c r="BG58" s="320"/>
      <c r="BH58" s="321"/>
      <c r="BI58" s="323"/>
      <c r="BJ58" s="262"/>
      <c r="BK58" s="342"/>
      <c r="BL58" s="320"/>
      <c r="BM58" s="321"/>
      <c r="BN58" s="321"/>
      <c r="BO58" s="321"/>
      <c r="BP58" s="321"/>
      <c r="BQ58" s="327"/>
      <c r="BR58" s="318"/>
      <c r="BS58" s="328"/>
      <c r="BT58" s="329"/>
      <c r="BU58" s="340"/>
      <c r="BV58" s="318"/>
      <c r="BW58" s="315"/>
      <c r="BX58" s="315"/>
      <c r="BY58" s="315"/>
      <c r="BZ58" s="315"/>
      <c r="CA58" s="315"/>
      <c r="CB58" s="315"/>
      <c r="CC58" s="330"/>
      <c r="CD58" s="318"/>
      <c r="CE58" s="315"/>
      <c r="CF58" s="315"/>
      <c r="CG58" s="319"/>
      <c r="CH58" s="318"/>
      <c r="CI58" s="319"/>
      <c r="CJ58" s="326"/>
      <c r="CK58" s="315"/>
      <c r="CL58" s="315"/>
      <c r="CM58" s="319"/>
      <c r="CN58" s="326"/>
      <c r="CO58" s="315"/>
      <c r="CP58" s="315"/>
      <c r="CQ58" s="315"/>
      <c r="CR58" s="319"/>
      <c r="CS58" s="318"/>
      <c r="CT58" s="331"/>
      <c r="CU58" s="188"/>
      <c r="CV58" s="332"/>
      <c r="CW58" s="333"/>
      <c r="CX58" s="334"/>
      <c r="CY58" s="318"/>
      <c r="CZ58" s="315"/>
      <c r="DA58" s="335"/>
      <c r="DB58" s="189"/>
      <c r="DC58" s="336"/>
      <c r="DD58" s="323"/>
      <c r="DE58" s="319"/>
      <c r="DF58" s="318"/>
      <c r="DG58" s="315"/>
      <c r="DH58" s="315"/>
      <c r="DI58" s="632"/>
      <c r="DJ58" s="633"/>
      <c r="DK58" s="318"/>
      <c r="DL58" s="315"/>
      <c r="DM58" s="315"/>
      <c r="DN58" s="315"/>
      <c r="DO58" s="315"/>
      <c r="DP58" s="315"/>
      <c r="DQ58" s="330"/>
      <c r="DR58" s="318"/>
      <c r="DS58" s="319"/>
      <c r="DT58" s="318"/>
      <c r="DU58" s="315"/>
      <c r="DV58" s="635"/>
      <c r="DW58" s="318"/>
      <c r="DX58" s="315"/>
      <c r="DY58" s="319"/>
      <c r="DZ58" s="318"/>
      <c r="EA58" s="315"/>
      <c r="EB58" s="315"/>
      <c r="EC58" s="315"/>
      <c r="ED58" s="330"/>
      <c r="EE58" s="318"/>
      <c r="EF58" s="319"/>
      <c r="EG58" s="326"/>
      <c r="EH58" s="315"/>
      <c r="EI58" s="635"/>
      <c r="EJ58" s="318"/>
      <c r="EK58" s="315"/>
      <c r="EL58" s="635"/>
      <c r="EM58" s="189"/>
      <c r="EN58" s="636"/>
      <c r="EO58" s="637"/>
      <c r="EP58" s="638"/>
      <c r="EQ58" s="315"/>
      <c r="ER58" s="315"/>
      <c r="ES58" s="319"/>
      <c r="ET58" s="639">
        <f t="shared" si="1"/>
        <v>1</v>
      </c>
      <c r="EU58" s="640"/>
      <c r="EV58" s="640">
        <f t="shared" si="2"/>
        <v>0</v>
      </c>
      <c r="EW58" s="640"/>
      <c r="EX58" s="641">
        <f t="shared" si="3"/>
        <v>0</v>
      </c>
    </row>
    <row r="59" spans="1:154" s="363" customFormat="1" ht="20.100000000000001" customHeight="1" x14ac:dyDescent="0.2">
      <c r="A59" s="646" t="s">
        <v>382</v>
      </c>
      <c r="B59" s="578" t="s">
        <v>484</v>
      </c>
      <c r="C59" s="312"/>
      <c r="D59" s="313" t="s">
        <v>485</v>
      </c>
      <c r="E59" s="312"/>
      <c r="F59" s="580" t="s">
        <v>486</v>
      </c>
      <c r="G59" s="581"/>
      <c r="H59" s="582" t="s">
        <v>487</v>
      </c>
      <c r="I59" s="627"/>
      <c r="J59" s="314"/>
      <c r="K59" s="315"/>
      <c r="L59" s="628"/>
      <c r="M59" s="629"/>
      <c r="N59" s="316"/>
      <c r="O59" s="317"/>
      <c r="P59" s="318"/>
      <c r="Q59" s="301"/>
      <c r="R59" s="301"/>
      <c r="S59" s="315"/>
      <c r="T59" s="315"/>
      <c r="U59" s="315"/>
      <c r="V59" s="315"/>
      <c r="W59" s="315"/>
      <c r="X59" s="315"/>
      <c r="Y59" s="315"/>
      <c r="Z59" s="315"/>
      <c r="AA59" s="319"/>
      <c r="AB59" s="320"/>
      <c r="AC59" s="315"/>
      <c r="AD59" s="315"/>
      <c r="AE59" s="315"/>
      <c r="AF59" s="315"/>
      <c r="AG59" s="321"/>
      <c r="AH59" s="322" t="str">
        <f t="shared" si="6"/>
        <v/>
      </c>
      <c r="AI59" s="323" t="str">
        <f>IF(ISNUMBER(AH59),100*AH59/(#REF!),"")</f>
        <v/>
      </c>
      <c r="AJ59" s="321"/>
      <c r="AK59" s="315"/>
      <c r="AL59" s="315"/>
      <c r="AM59" s="324"/>
      <c r="AN59" s="325"/>
      <c r="AO59" s="321"/>
      <c r="AP59" s="315"/>
      <c r="AQ59" s="321"/>
      <c r="AR59" s="321"/>
      <c r="AS59" s="339"/>
      <c r="AT59" s="318"/>
      <c r="AU59" s="325"/>
      <c r="AV59" s="325"/>
      <c r="AW59" s="325"/>
      <c r="AX59" s="315"/>
      <c r="AY59" s="321"/>
      <c r="AZ59" s="315"/>
      <c r="BA59" s="315"/>
      <c r="BB59" s="321"/>
      <c r="BC59" s="159"/>
      <c r="BD59" s="326"/>
      <c r="BE59" s="315"/>
      <c r="BF59" s="319"/>
      <c r="BG59" s="320"/>
      <c r="BH59" s="321"/>
      <c r="BI59" s="323"/>
      <c r="BJ59" s="262"/>
      <c r="BK59" s="342"/>
      <c r="BL59" s="320"/>
      <c r="BM59" s="321"/>
      <c r="BN59" s="321"/>
      <c r="BO59" s="321"/>
      <c r="BP59" s="321"/>
      <c r="BQ59" s="327"/>
      <c r="BR59" s="318"/>
      <c r="BS59" s="328"/>
      <c r="BT59" s="329"/>
      <c r="BU59" s="340"/>
      <c r="BV59" s="318"/>
      <c r="BW59" s="315"/>
      <c r="BX59" s="315"/>
      <c r="BY59" s="315"/>
      <c r="BZ59" s="315"/>
      <c r="CA59" s="315"/>
      <c r="CB59" s="315"/>
      <c r="CC59" s="330"/>
      <c r="CD59" s="318"/>
      <c r="CE59" s="315"/>
      <c r="CF59" s="315"/>
      <c r="CG59" s="319"/>
      <c r="CH59" s="318"/>
      <c r="CI59" s="319"/>
      <c r="CJ59" s="326"/>
      <c r="CK59" s="315"/>
      <c r="CL59" s="315"/>
      <c r="CM59" s="319"/>
      <c r="CN59" s="326"/>
      <c r="CO59" s="315"/>
      <c r="CP59" s="315"/>
      <c r="CQ59" s="315"/>
      <c r="CR59" s="319"/>
      <c r="CS59" s="318"/>
      <c r="CT59" s="331"/>
      <c r="CU59" s="188"/>
      <c r="CV59" s="332"/>
      <c r="CW59" s="333"/>
      <c r="CX59" s="334"/>
      <c r="CY59" s="318"/>
      <c r="CZ59" s="315"/>
      <c r="DA59" s="335"/>
      <c r="DB59" s="189"/>
      <c r="DC59" s="336"/>
      <c r="DD59" s="323"/>
      <c r="DE59" s="319"/>
      <c r="DF59" s="318"/>
      <c r="DG59" s="315"/>
      <c r="DH59" s="315"/>
      <c r="DI59" s="632"/>
      <c r="DJ59" s="633"/>
      <c r="DK59" s="318"/>
      <c r="DL59" s="315"/>
      <c r="DM59" s="315"/>
      <c r="DN59" s="315"/>
      <c r="DO59" s="315"/>
      <c r="DP59" s="315"/>
      <c r="DQ59" s="330"/>
      <c r="DR59" s="318"/>
      <c r="DS59" s="319"/>
      <c r="DT59" s="318"/>
      <c r="DU59" s="315"/>
      <c r="DV59" s="635"/>
      <c r="DW59" s="318"/>
      <c r="DX59" s="315"/>
      <c r="DY59" s="319"/>
      <c r="DZ59" s="318"/>
      <c r="EA59" s="315"/>
      <c r="EB59" s="315"/>
      <c r="EC59" s="315"/>
      <c r="ED59" s="330"/>
      <c r="EE59" s="318"/>
      <c r="EF59" s="319"/>
      <c r="EG59" s="326"/>
      <c r="EH59" s="315"/>
      <c r="EI59" s="635"/>
      <c r="EJ59" s="318"/>
      <c r="EK59" s="315"/>
      <c r="EL59" s="635"/>
      <c r="EM59" s="189"/>
      <c r="EN59" s="636"/>
      <c r="EO59" s="637"/>
      <c r="EP59" s="638"/>
      <c r="EQ59" s="315"/>
      <c r="ER59" s="315"/>
      <c r="ES59" s="319"/>
      <c r="ET59" s="639">
        <f t="shared" si="1"/>
        <v>1</v>
      </c>
      <c r="EU59" s="640"/>
      <c r="EV59" s="640">
        <f t="shared" si="2"/>
        <v>0</v>
      </c>
      <c r="EW59" s="640"/>
      <c r="EX59" s="641">
        <f t="shared" si="3"/>
        <v>0</v>
      </c>
    </row>
    <row r="60" spans="1:154" s="363" customFormat="1" ht="20.100000000000001" customHeight="1" x14ac:dyDescent="0.2">
      <c r="A60" s="646" t="s">
        <v>383</v>
      </c>
      <c r="B60" s="578" t="s">
        <v>484</v>
      </c>
      <c r="C60" s="312"/>
      <c r="D60" s="313" t="s">
        <v>485</v>
      </c>
      <c r="E60" s="312"/>
      <c r="F60" s="580" t="s">
        <v>486</v>
      </c>
      <c r="G60" s="581"/>
      <c r="H60" s="582" t="s">
        <v>487</v>
      </c>
      <c r="I60" s="627"/>
      <c r="J60" s="314"/>
      <c r="K60" s="315"/>
      <c r="L60" s="628"/>
      <c r="M60" s="629"/>
      <c r="N60" s="316"/>
      <c r="O60" s="317"/>
      <c r="P60" s="318"/>
      <c r="Q60" s="301"/>
      <c r="R60" s="301"/>
      <c r="S60" s="315"/>
      <c r="T60" s="315"/>
      <c r="U60" s="315"/>
      <c r="V60" s="315"/>
      <c r="W60" s="315"/>
      <c r="X60" s="315"/>
      <c r="Y60" s="315"/>
      <c r="Z60" s="315"/>
      <c r="AA60" s="319"/>
      <c r="AB60" s="320"/>
      <c r="AC60" s="315"/>
      <c r="AD60" s="315"/>
      <c r="AE60" s="315"/>
      <c r="AF60" s="315"/>
      <c r="AG60" s="321"/>
      <c r="AH60" s="322" t="str">
        <f t="shared" si="6"/>
        <v/>
      </c>
      <c r="AI60" s="323" t="str">
        <f>IF(ISNUMBER(AH60),100*AH60/(#REF!),"")</f>
        <v/>
      </c>
      <c r="AJ60" s="321"/>
      <c r="AK60" s="315"/>
      <c r="AL60" s="315"/>
      <c r="AM60" s="324"/>
      <c r="AN60" s="325"/>
      <c r="AO60" s="321"/>
      <c r="AP60" s="315"/>
      <c r="AQ60" s="321"/>
      <c r="AR60" s="321"/>
      <c r="AS60" s="339"/>
      <c r="AT60" s="318"/>
      <c r="AU60" s="325"/>
      <c r="AV60" s="325"/>
      <c r="AW60" s="325"/>
      <c r="AX60" s="315"/>
      <c r="AY60" s="321"/>
      <c r="AZ60" s="315"/>
      <c r="BA60" s="315"/>
      <c r="BB60" s="321"/>
      <c r="BC60" s="159"/>
      <c r="BD60" s="326"/>
      <c r="BE60" s="315"/>
      <c r="BF60" s="319"/>
      <c r="BG60" s="320"/>
      <c r="BH60" s="321"/>
      <c r="BI60" s="323"/>
      <c r="BJ60" s="262"/>
      <c r="BK60" s="342"/>
      <c r="BL60" s="320"/>
      <c r="BM60" s="321"/>
      <c r="BN60" s="321"/>
      <c r="BO60" s="321"/>
      <c r="BP60" s="321"/>
      <c r="BQ60" s="327"/>
      <c r="BR60" s="318"/>
      <c r="BS60" s="328"/>
      <c r="BT60" s="329"/>
      <c r="BU60" s="340"/>
      <c r="BV60" s="318"/>
      <c r="BW60" s="315"/>
      <c r="BX60" s="315"/>
      <c r="BY60" s="315"/>
      <c r="BZ60" s="315"/>
      <c r="CA60" s="315"/>
      <c r="CB60" s="315"/>
      <c r="CC60" s="330"/>
      <c r="CD60" s="318"/>
      <c r="CE60" s="315"/>
      <c r="CF60" s="315"/>
      <c r="CG60" s="319"/>
      <c r="CH60" s="318"/>
      <c r="CI60" s="319"/>
      <c r="CJ60" s="326"/>
      <c r="CK60" s="315"/>
      <c r="CL60" s="315"/>
      <c r="CM60" s="319"/>
      <c r="CN60" s="326"/>
      <c r="CO60" s="315"/>
      <c r="CP60" s="315"/>
      <c r="CQ60" s="315"/>
      <c r="CR60" s="319"/>
      <c r="CS60" s="318"/>
      <c r="CT60" s="331"/>
      <c r="CU60" s="188"/>
      <c r="CV60" s="332"/>
      <c r="CW60" s="333"/>
      <c r="CX60" s="334"/>
      <c r="CY60" s="318"/>
      <c r="CZ60" s="315"/>
      <c r="DA60" s="335"/>
      <c r="DB60" s="189"/>
      <c r="DC60" s="336"/>
      <c r="DD60" s="323"/>
      <c r="DE60" s="319"/>
      <c r="DF60" s="318"/>
      <c r="DG60" s="315"/>
      <c r="DH60" s="315"/>
      <c r="DI60" s="632"/>
      <c r="DJ60" s="633"/>
      <c r="DK60" s="318"/>
      <c r="DL60" s="315"/>
      <c r="DM60" s="315"/>
      <c r="DN60" s="315"/>
      <c r="DO60" s="315"/>
      <c r="DP60" s="315"/>
      <c r="DQ60" s="330"/>
      <c r="DR60" s="318"/>
      <c r="DS60" s="319"/>
      <c r="DT60" s="318"/>
      <c r="DU60" s="315"/>
      <c r="DV60" s="635"/>
      <c r="DW60" s="318"/>
      <c r="DX60" s="315"/>
      <c r="DY60" s="319"/>
      <c r="DZ60" s="318"/>
      <c r="EA60" s="315"/>
      <c r="EB60" s="315"/>
      <c r="EC60" s="315"/>
      <c r="ED60" s="330"/>
      <c r="EE60" s="318"/>
      <c r="EF60" s="319"/>
      <c r="EG60" s="326"/>
      <c r="EH60" s="315"/>
      <c r="EI60" s="635"/>
      <c r="EJ60" s="318"/>
      <c r="EK60" s="315"/>
      <c r="EL60" s="635"/>
      <c r="EM60" s="189"/>
      <c r="EN60" s="636"/>
      <c r="EO60" s="637"/>
      <c r="EP60" s="638"/>
      <c r="EQ60" s="315"/>
      <c r="ER60" s="315"/>
      <c r="ES60" s="319"/>
      <c r="ET60" s="639">
        <f t="shared" si="1"/>
        <v>1</v>
      </c>
      <c r="EU60" s="640"/>
      <c r="EV60" s="640">
        <f t="shared" si="2"/>
        <v>0</v>
      </c>
      <c r="EW60" s="640"/>
      <c r="EX60" s="641">
        <f t="shared" si="3"/>
        <v>0</v>
      </c>
    </row>
    <row r="61" spans="1:154" s="363" customFormat="1" ht="20.100000000000001" customHeight="1" x14ac:dyDescent="0.2">
      <c r="A61" s="646" t="s">
        <v>384</v>
      </c>
      <c r="B61" s="578" t="s">
        <v>484</v>
      </c>
      <c r="C61" s="312"/>
      <c r="D61" s="313" t="s">
        <v>485</v>
      </c>
      <c r="E61" s="312"/>
      <c r="F61" s="580" t="s">
        <v>486</v>
      </c>
      <c r="G61" s="581"/>
      <c r="H61" s="582" t="s">
        <v>487</v>
      </c>
      <c r="I61" s="627"/>
      <c r="J61" s="314"/>
      <c r="K61" s="315"/>
      <c r="L61" s="628"/>
      <c r="M61" s="629"/>
      <c r="N61" s="316"/>
      <c r="O61" s="317"/>
      <c r="P61" s="318"/>
      <c r="Q61" s="301"/>
      <c r="R61" s="301"/>
      <c r="S61" s="315"/>
      <c r="T61" s="315"/>
      <c r="U61" s="315"/>
      <c r="V61" s="315"/>
      <c r="W61" s="315"/>
      <c r="X61" s="315"/>
      <c r="Y61" s="315"/>
      <c r="Z61" s="315"/>
      <c r="AA61" s="319"/>
      <c r="AB61" s="320"/>
      <c r="AC61" s="315"/>
      <c r="AD61" s="315"/>
      <c r="AE61" s="315"/>
      <c r="AF61" s="315"/>
      <c r="AG61" s="321"/>
      <c r="AH61" s="322" t="str">
        <f t="shared" si="6"/>
        <v/>
      </c>
      <c r="AI61" s="323" t="str">
        <f>IF(ISNUMBER(AH61),100*AH61/(#REF!),"")</f>
        <v/>
      </c>
      <c r="AJ61" s="321"/>
      <c r="AK61" s="315"/>
      <c r="AL61" s="315"/>
      <c r="AM61" s="324"/>
      <c r="AN61" s="325"/>
      <c r="AO61" s="321"/>
      <c r="AP61" s="315"/>
      <c r="AQ61" s="321"/>
      <c r="AR61" s="321"/>
      <c r="AS61" s="339"/>
      <c r="AT61" s="318"/>
      <c r="AU61" s="325"/>
      <c r="AV61" s="325"/>
      <c r="AW61" s="325"/>
      <c r="AX61" s="315"/>
      <c r="AY61" s="321"/>
      <c r="AZ61" s="315"/>
      <c r="BA61" s="315"/>
      <c r="BB61" s="321"/>
      <c r="BC61" s="159"/>
      <c r="BD61" s="326"/>
      <c r="BE61" s="315"/>
      <c r="BF61" s="319"/>
      <c r="BG61" s="320"/>
      <c r="BH61" s="321"/>
      <c r="BI61" s="323"/>
      <c r="BJ61" s="262"/>
      <c r="BK61" s="342"/>
      <c r="BL61" s="320"/>
      <c r="BM61" s="321"/>
      <c r="BN61" s="321"/>
      <c r="BO61" s="321"/>
      <c r="BP61" s="321"/>
      <c r="BQ61" s="327"/>
      <c r="BR61" s="318"/>
      <c r="BS61" s="328"/>
      <c r="BT61" s="329"/>
      <c r="BU61" s="340"/>
      <c r="BV61" s="318"/>
      <c r="BW61" s="315"/>
      <c r="BX61" s="315"/>
      <c r="BY61" s="315"/>
      <c r="BZ61" s="315"/>
      <c r="CA61" s="315"/>
      <c r="CB61" s="315"/>
      <c r="CC61" s="330"/>
      <c r="CD61" s="318"/>
      <c r="CE61" s="315"/>
      <c r="CF61" s="315"/>
      <c r="CG61" s="319"/>
      <c r="CH61" s="318"/>
      <c r="CI61" s="319"/>
      <c r="CJ61" s="326"/>
      <c r="CK61" s="315"/>
      <c r="CL61" s="315"/>
      <c r="CM61" s="319"/>
      <c r="CN61" s="326"/>
      <c r="CO61" s="315"/>
      <c r="CP61" s="315"/>
      <c r="CQ61" s="315"/>
      <c r="CR61" s="319"/>
      <c r="CS61" s="318"/>
      <c r="CT61" s="331"/>
      <c r="CU61" s="188"/>
      <c r="CV61" s="332"/>
      <c r="CW61" s="333"/>
      <c r="CX61" s="334"/>
      <c r="CY61" s="318"/>
      <c r="CZ61" s="315"/>
      <c r="DA61" s="335"/>
      <c r="DB61" s="189"/>
      <c r="DC61" s="336"/>
      <c r="DD61" s="323"/>
      <c r="DE61" s="319"/>
      <c r="DF61" s="318"/>
      <c r="DG61" s="315"/>
      <c r="DH61" s="315"/>
      <c r="DI61" s="632"/>
      <c r="DJ61" s="633"/>
      <c r="DK61" s="318"/>
      <c r="DL61" s="315"/>
      <c r="DM61" s="315"/>
      <c r="DN61" s="315"/>
      <c r="DO61" s="315"/>
      <c r="DP61" s="315"/>
      <c r="DQ61" s="330"/>
      <c r="DR61" s="318"/>
      <c r="DS61" s="319"/>
      <c r="DT61" s="318"/>
      <c r="DU61" s="315"/>
      <c r="DV61" s="635"/>
      <c r="DW61" s="318"/>
      <c r="DX61" s="315"/>
      <c r="DY61" s="319"/>
      <c r="DZ61" s="318"/>
      <c r="EA61" s="315"/>
      <c r="EB61" s="315"/>
      <c r="EC61" s="315"/>
      <c r="ED61" s="330"/>
      <c r="EE61" s="318"/>
      <c r="EF61" s="319"/>
      <c r="EG61" s="326"/>
      <c r="EH61" s="315"/>
      <c r="EI61" s="635"/>
      <c r="EJ61" s="318"/>
      <c r="EK61" s="315"/>
      <c r="EL61" s="635"/>
      <c r="EM61" s="189"/>
      <c r="EN61" s="636"/>
      <c r="EO61" s="637"/>
      <c r="EP61" s="638"/>
      <c r="EQ61" s="315"/>
      <c r="ER61" s="315"/>
      <c r="ES61" s="319"/>
      <c r="ET61" s="639">
        <f t="shared" si="1"/>
        <v>1</v>
      </c>
      <c r="EU61" s="640"/>
      <c r="EV61" s="640">
        <f t="shared" si="2"/>
        <v>0</v>
      </c>
      <c r="EW61" s="640"/>
      <c r="EX61" s="641">
        <f t="shared" si="3"/>
        <v>0</v>
      </c>
    </row>
    <row r="62" spans="1:154" s="363" customFormat="1" ht="20.100000000000001" customHeight="1" x14ac:dyDescent="0.2">
      <c r="A62" s="646" t="s">
        <v>385</v>
      </c>
      <c r="B62" s="578" t="s">
        <v>484</v>
      </c>
      <c r="C62" s="312"/>
      <c r="D62" s="313" t="s">
        <v>485</v>
      </c>
      <c r="E62" s="312"/>
      <c r="F62" s="580" t="s">
        <v>486</v>
      </c>
      <c r="G62" s="581"/>
      <c r="H62" s="582" t="s">
        <v>487</v>
      </c>
      <c r="I62" s="627"/>
      <c r="J62" s="314"/>
      <c r="K62" s="315"/>
      <c r="L62" s="628"/>
      <c r="M62" s="629"/>
      <c r="N62" s="316"/>
      <c r="O62" s="317"/>
      <c r="P62" s="318"/>
      <c r="Q62" s="301"/>
      <c r="R62" s="301"/>
      <c r="S62" s="315"/>
      <c r="T62" s="315"/>
      <c r="U62" s="315"/>
      <c r="V62" s="315"/>
      <c r="W62" s="315"/>
      <c r="X62" s="315"/>
      <c r="Y62" s="315"/>
      <c r="Z62" s="315"/>
      <c r="AA62" s="319"/>
      <c r="AB62" s="320"/>
      <c r="AC62" s="315"/>
      <c r="AD62" s="315"/>
      <c r="AE62" s="315"/>
      <c r="AF62" s="315"/>
      <c r="AG62" s="321"/>
      <c r="AH62" s="322" t="str">
        <f t="shared" si="6"/>
        <v/>
      </c>
      <c r="AI62" s="323" t="str">
        <f>IF(ISNUMBER(AH62),100*AH62/(#REF!),"")</f>
        <v/>
      </c>
      <c r="AJ62" s="321"/>
      <c r="AK62" s="315"/>
      <c r="AL62" s="315"/>
      <c r="AM62" s="324"/>
      <c r="AN62" s="325"/>
      <c r="AO62" s="321"/>
      <c r="AP62" s="315"/>
      <c r="AQ62" s="321"/>
      <c r="AR62" s="321"/>
      <c r="AS62" s="339"/>
      <c r="AT62" s="318"/>
      <c r="AU62" s="325"/>
      <c r="AV62" s="325"/>
      <c r="AW62" s="325"/>
      <c r="AX62" s="315"/>
      <c r="AY62" s="321"/>
      <c r="AZ62" s="315"/>
      <c r="BA62" s="315"/>
      <c r="BB62" s="321"/>
      <c r="BC62" s="159"/>
      <c r="BD62" s="326"/>
      <c r="BE62" s="315"/>
      <c r="BF62" s="319"/>
      <c r="BG62" s="320"/>
      <c r="BH62" s="321"/>
      <c r="BI62" s="323"/>
      <c r="BJ62" s="262"/>
      <c r="BK62" s="342"/>
      <c r="BL62" s="320"/>
      <c r="BM62" s="321"/>
      <c r="BN62" s="321"/>
      <c r="BO62" s="321"/>
      <c r="BP62" s="321"/>
      <c r="BQ62" s="327"/>
      <c r="BR62" s="318"/>
      <c r="BS62" s="328"/>
      <c r="BT62" s="329"/>
      <c r="BU62" s="340"/>
      <c r="BV62" s="318"/>
      <c r="BW62" s="315"/>
      <c r="BX62" s="315"/>
      <c r="BY62" s="315"/>
      <c r="BZ62" s="315"/>
      <c r="CA62" s="315"/>
      <c r="CB62" s="315"/>
      <c r="CC62" s="330"/>
      <c r="CD62" s="318"/>
      <c r="CE62" s="315"/>
      <c r="CF62" s="315"/>
      <c r="CG62" s="319"/>
      <c r="CH62" s="318"/>
      <c r="CI62" s="319"/>
      <c r="CJ62" s="326"/>
      <c r="CK62" s="315"/>
      <c r="CL62" s="315"/>
      <c r="CM62" s="319"/>
      <c r="CN62" s="326"/>
      <c r="CO62" s="315"/>
      <c r="CP62" s="315"/>
      <c r="CQ62" s="315"/>
      <c r="CR62" s="319"/>
      <c r="CS62" s="318"/>
      <c r="CT62" s="331"/>
      <c r="CU62" s="188"/>
      <c r="CV62" s="332"/>
      <c r="CW62" s="333"/>
      <c r="CX62" s="334"/>
      <c r="CY62" s="318"/>
      <c r="CZ62" s="315"/>
      <c r="DA62" s="335"/>
      <c r="DB62" s="189"/>
      <c r="DC62" s="336"/>
      <c r="DD62" s="323"/>
      <c r="DE62" s="319"/>
      <c r="DF62" s="318"/>
      <c r="DG62" s="315"/>
      <c r="DH62" s="315"/>
      <c r="DI62" s="632"/>
      <c r="DJ62" s="633"/>
      <c r="DK62" s="318"/>
      <c r="DL62" s="315"/>
      <c r="DM62" s="315"/>
      <c r="DN62" s="315"/>
      <c r="DO62" s="315"/>
      <c r="DP62" s="315"/>
      <c r="DQ62" s="330"/>
      <c r="DR62" s="318"/>
      <c r="DS62" s="319"/>
      <c r="DT62" s="318"/>
      <c r="DU62" s="315"/>
      <c r="DV62" s="635"/>
      <c r="DW62" s="318"/>
      <c r="DX62" s="315"/>
      <c r="DY62" s="319"/>
      <c r="DZ62" s="318"/>
      <c r="EA62" s="315"/>
      <c r="EB62" s="315"/>
      <c r="EC62" s="315"/>
      <c r="ED62" s="330"/>
      <c r="EE62" s="318"/>
      <c r="EF62" s="319"/>
      <c r="EG62" s="326"/>
      <c r="EH62" s="315"/>
      <c r="EI62" s="635"/>
      <c r="EJ62" s="318"/>
      <c r="EK62" s="315"/>
      <c r="EL62" s="635"/>
      <c r="EM62" s="189"/>
      <c r="EN62" s="636"/>
      <c r="EO62" s="637"/>
      <c r="EP62" s="638"/>
      <c r="EQ62" s="315"/>
      <c r="ER62" s="315"/>
      <c r="ES62" s="319"/>
      <c r="ET62" s="639">
        <f t="shared" si="1"/>
        <v>1</v>
      </c>
      <c r="EU62" s="640"/>
      <c r="EV62" s="640">
        <f t="shared" si="2"/>
        <v>0</v>
      </c>
      <c r="EW62" s="640"/>
      <c r="EX62" s="641">
        <f t="shared" si="3"/>
        <v>0</v>
      </c>
    </row>
    <row r="63" spans="1:154" s="363" customFormat="1" ht="20.100000000000001" customHeight="1" x14ac:dyDescent="0.2">
      <c r="A63" s="646" t="s">
        <v>386</v>
      </c>
      <c r="B63" s="578" t="s">
        <v>484</v>
      </c>
      <c r="C63" s="312"/>
      <c r="D63" s="313" t="s">
        <v>485</v>
      </c>
      <c r="E63" s="312"/>
      <c r="F63" s="580" t="s">
        <v>486</v>
      </c>
      <c r="G63" s="581"/>
      <c r="H63" s="582" t="s">
        <v>487</v>
      </c>
      <c r="I63" s="627"/>
      <c r="J63" s="314"/>
      <c r="K63" s="315"/>
      <c r="L63" s="628"/>
      <c r="M63" s="629"/>
      <c r="N63" s="316"/>
      <c r="O63" s="317"/>
      <c r="P63" s="318"/>
      <c r="Q63" s="301"/>
      <c r="R63" s="301"/>
      <c r="S63" s="315"/>
      <c r="T63" s="315"/>
      <c r="U63" s="315"/>
      <c r="V63" s="315"/>
      <c r="W63" s="315"/>
      <c r="X63" s="315"/>
      <c r="Y63" s="315"/>
      <c r="Z63" s="315"/>
      <c r="AA63" s="319"/>
      <c r="AB63" s="320"/>
      <c r="AC63" s="315"/>
      <c r="AD63" s="315"/>
      <c r="AE63" s="315"/>
      <c r="AF63" s="315"/>
      <c r="AG63" s="321"/>
      <c r="AH63" s="322" t="str">
        <f t="shared" si="6"/>
        <v/>
      </c>
      <c r="AI63" s="323" t="str">
        <f>IF(ISNUMBER(AH63),100*AH63/(#REF!),"")</f>
        <v/>
      </c>
      <c r="AJ63" s="321"/>
      <c r="AK63" s="315"/>
      <c r="AL63" s="315"/>
      <c r="AM63" s="324"/>
      <c r="AN63" s="325"/>
      <c r="AO63" s="321"/>
      <c r="AP63" s="315"/>
      <c r="AQ63" s="321"/>
      <c r="AR63" s="321"/>
      <c r="AS63" s="339"/>
      <c r="AT63" s="318"/>
      <c r="AU63" s="325"/>
      <c r="AV63" s="325"/>
      <c r="AW63" s="325"/>
      <c r="AX63" s="315"/>
      <c r="AY63" s="321"/>
      <c r="AZ63" s="315"/>
      <c r="BA63" s="315"/>
      <c r="BB63" s="321"/>
      <c r="BC63" s="159"/>
      <c r="BD63" s="326"/>
      <c r="BE63" s="315"/>
      <c r="BF63" s="319"/>
      <c r="BG63" s="320"/>
      <c r="BH63" s="321"/>
      <c r="BI63" s="323"/>
      <c r="BJ63" s="262"/>
      <c r="BK63" s="342"/>
      <c r="BL63" s="320"/>
      <c r="BM63" s="321"/>
      <c r="BN63" s="321"/>
      <c r="BO63" s="321"/>
      <c r="BP63" s="321"/>
      <c r="BQ63" s="327"/>
      <c r="BR63" s="318"/>
      <c r="BS63" s="328"/>
      <c r="BT63" s="329"/>
      <c r="BU63" s="340"/>
      <c r="BV63" s="318"/>
      <c r="BW63" s="315"/>
      <c r="BX63" s="315"/>
      <c r="BY63" s="315"/>
      <c r="BZ63" s="315"/>
      <c r="CA63" s="315"/>
      <c r="CB63" s="315"/>
      <c r="CC63" s="330"/>
      <c r="CD63" s="318"/>
      <c r="CE63" s="315"/>
      <c r="CF63" s="315"/>
      <c r="CG63" s="319"/>
      <c r="CH63" s="318"/>
      <c r="CI63" s="319"/>
      <c r="CJ63" s="326"/>
      <c r="CK63" s="315"/>
      <c r="CL63" s="315"/>
      <c r="CM63" s="319"/>
      <c r="CN63" s="326"/>
      <c r="CO63" s="315"/>
      <c r="CP63" s="315"/>
      <c r="CQ63" s="315"/>
      <c r="CR63" s="319"/>
      <c r="CS63" s="318"/>
      <c r="CT63" s="331"/>
      <c r="CU63" s="188"/>
      <c r="CV63" s="332"/>
      <c r="CW63" s="333"/>
      <c r="CX63" s="334"/>
      <c r="CY63" s="318"/>
      <c r="CZ63" s="315"/>
      <c r="DA63" s="335"/>
      <c r="DB63" s="189"/>
      <c r="DC63" s="336"/>
      <c r="DD63" s="323"/>
      <c r="DE63" s="319"/>
      <c r="DF63" s="318"/>
      <c r="DG63" s="315"/>
      <c r="DH63" s="315"/>
      <c r="DI63" s="632"/>
      <c r="DJ63" s="633"/>
      <c r="DK63" s="318"/>
      <c r="DL63" s="315"/>
      <c r="DM63" s="315"/>
      <c r="DN63" s="315"/>
      <c r="DO63" s="315"/>
      <c r="DP63" s="315"/>
      <c r="DQ63" s="330"/>
      <c r="DR63" s="318"/>
      <c r="DS63" s="319"/>
      <c r="DT63" s="318"/>
      <c r="DU63" s="315"/>
      <c r="DV63" s="635"/>
      <c r="DW63" s="318"/>
      <c r="DX63" s="315"/>
      <c r="DY63" s="319"/>
      <c r="DZ63" s="318"/>
      <c r="EA63" s="315"/>
      <c r="EB63" s="315"/>
      <c r="EC63" s="315"/>
      <c r="ED63" s="330"/>
      <c r="EE63" s="318"/>
      <c r="EF63" s="319"/>
      <c r="EG63" s="326"/>
      <c r="EH63" s="315"/>
      <c r="EI63" s="635"/>
      <c r="EJ63" s="318"/>
      <c r="EK63" s="315"/>
      <c r="EL63" s="635"/>
      <c r="EM63" s="189"/>
      <c r="EN63" s="636"/>
      <c r="EO63" s="637"/>
      <c r="EP63" s="638"/>
      <c r="EQ63" s="315"/>
      <c r="ER63" s="315"/>
      <c r="ES63" s="319"/>
      <c r="ET63" s="639">
        <f t="shared" si="1"/>
        <v>1</v>
      </c>
      <c r="EU63" s="640"/>
      <c r="EV63" s="640">
        <f t="shared" si="2"/>
        <v>0</v>
      </c>
      <c r="EW63" s="640"/>
      <c r="EX63" s="641">
        <f t="shared" si="3"/>
        <v>0</v>
      </c>
    </row>
    <row r="64" spans="1:154" s="363" customFormat="1" ht="20.100000000000001" customHeight="1" x14ac:dyDescent="0.2">
      <c r="A64" s="646" t="s">
        <v>387</v>
      </c>
      <c r="B64" s="578" t="s">
        <v>484</v>
      </c>
      <c r="C64" s="312"/>
      <c r="D64" s="313" t="s">
        <v>485</v>
      </c>
      <c r="E64" s="312"/>
      <c r="F64" s="580" t="s">
        <v>486</v>
      </c>
      <c r="G64" s="581"/>
      <c r="H64" s="582" t="s">
        <v>487</v>
      </c>
      <c r="I64" s="627"/>
      <c r="J64" s="314"/>
      <c r="K64" s="315"/>
      <c r="L64" s="628"/>
      <c r="M64" s="629"/>
      <c r="N64" s="316"/>
      <c r="O64" s="317"/>
      <c r="P64" s="318"/>
      <c r="Q64" s="301"/>
      <c r="R64" s="301"/>
      <c r="S64" s="315"/>
      <c r="T64" s="315"/>
      <c r="U64" s="315"/>
      <c r="V64" s="315"/>
      <c r="W64" s="315"/>
      <c r="X64" s="315"/>
      <c r="Y64" s="315"/>
      <c r="Z64" s="315"/>
      <c r="AA64" s="319"/>
      <c r="AB64" s="320"/>
      <c r="AC64" s="315"/>
      <c r="AD64" s="315"/>
      <c r="AE64" s="315"/>
      <c r="AF64" s="315"/>
      <c r="AG64" s="321"/>
      <c r="AH64" s="322" t="str">
        <f t="shared" si="6"/>
        <v/>
      </c>
      <c r="AI64" s="323" t="str">
        <f>IF(ISNUMBER(AH64),100*AH64/(#REF!),"")</f>
        <v/>
      </c>
      <c r="AJ64" s="321"/>
      <c r="AK64" s="315"/>
      <c r="AL64" s="315"/>
      <c r="AM64" s="324"/>
      <c r="AN64" s="325"/>
      <c r="AO64" s="321"/>
      <c r="AP64" s="315"/>
      <c r="AQ64" s="321"/>
      <c r="AR64" s="321"/>
      <c r="AS64" s="339"/>
      <c r="AT64" s="318"/>
      <c r="AU64" s="325"/>
      <c r="AV64" s="325"/>
      <c r="AW64" s="325"/>
      <c r="AX64" s="315"/>
      <c r="AY64" s="321"/>
      <c r="AZ64" s="315"/>
      <c r="BA64" s="315"/>
      <c r="BB64" s="321"/>
      <c r="BC64" s="159"/>
      <c r="BD64" s="326"/>
      <c r="BE64" s="315"/>
      <c r="BF64" s="319"/>
      <c r="BG64" s="320"/>
      <c r="BH64" s="321"/>
      <c r="BI64" s="323"/>
      <c r="BJ64" s="262"/>
      <c r="BK64" s="342"/>
      <c r="BL64" s="320"/>
      <c r="BM64" s="321"/>
      <c r="BN64" s="321"/>
      <c r="BO64" s="321"/>
      <c r="BP64" s="321"/>
      <c r="BQ64" s="327"/>
      <c r="BR64" s="318"/>
      <c r="BS64" s="328"/>
      <c r="BT64" s="329"/>
      <c r="BU64" s="340"/>
      <c r="BV64" s="318"/>
      <c r="BW64" s="315"/>
      <c r="BX64" s="315"/>
      <c r="BY64" s="315"/>
      <c r="BZ64" s="315"/>
      <c r="CA64" s="315"/>
      <c r="CB64" s="315"/>
      <c r="CC64" s="330"/>
      <c r="CD64" s="318"/>
      <c r="CE64" s="315"/>
      <c r="CF64" s="315"/>
      <c r="CG64" s="319"/>
      <c r="CH64" s="318"/>
      <c r="CI64" s="319"/>
      <c r="CJ64" s="326"/>
      <c r="CK64" s="315"/>
      <c r="CL64" s="315"/>
      <c r="CM64" s="319"/>
      <c r="CN64" s="326"/>
      <c r="CO64" s="315"/>
      <c r="CP64" s="315"/>
      <c r="CQ64" s="315"/>
      <c r="CR64" s="319"/>
      <c r="CS64" s="318"/>
      <c r="CT64" s="331"/>
      <c r="CU64" s="188"/>
      <c r="CV64" s="332"/>
      <c r="CW64" s="333"/>
      <c r="CX64" s="334"/>
      <c r="CY64" s="318"/>
      <c r="CZ64" s="315"/>
      <c r="DA64" s="335"/>
      <c r="DB64" s="189"/>
      <c r="DC64" s="336"/>
      <c r="DD64" s="323"/>
      <c r="DE64" s="319"/>
      <c r="DF64" s="318"/>
      <c r="DG64" s="315"/>
      <c r="DH64" s="315"/>
      <c r="DI64" s="632"/>
      <c r="DJ64" s="633"/>
      <c r="DK64" s="318"/>
      <c r="DL64" s="315"/>
      <c r="DM64" s="315"/>
      <c r="DN64" s="315"/>
      <c r="DO64" s="315"/>
      <c r="DP64" s="315"/>
      <c r="DQ64" s="330"/>
      <c r="DR64" s="318"/>
      <c r="DS64" s="319"/>
      <c r="DT64" s="318"/>
      <c r="DU64" s="315"/>
      <c r="DV64" s="635"/>
      <c r="DW64" s="318"/>
      <c r="DX64" s="315"/>
      <c r="DY64" s="319"/>
      <c r="DZ64" s="318"/>
      <c r="EA64" s="315"/>
      <c r="EB64" s="315"/>
      <c r="EC64" s="315"/>
      <c r="ED64" s="330"/>
      <c r="EE64" s="318"/>
      <c r="EF64" s="319"/>
      <c r="EG64" s="326"/>
      <c r="EH64" s="315"/>
      <c r="EI64" s="635"/>
      <c r="EJ64" s="318"/>
      <c r="EK64" s="315"/>
      <c r="EL64" s="635"/>
      <c r="EM64" s="189"/>
      <c r="EN64" s="636"/>
      <c r="EO64" s="637"/>
      <c r="EP64" s="638"/>
      <c r="EQ64" s="315"/>
      <c r="ER64" s="315"/>
      <c r="ES64" s="319"/>
      <c r="ET64" s="639">
        <f t="shared" si="1"/>
        <v>1</v>
      </c>
      <c r="EU64" s="640"/>
      <c r="EV64" s="640">
        <f t="shared" si="2"/>
        <v>0</v>
      </c>
      <c r="EW64" s="640"/>
      <c r="EX64" s="641">
        <f t="shared" si="3"/>
        <v>0</v>
      </c>
    </row>
    <row r="65" spans="1:154" s="363" customFormat="1" ht="20.100000000000001" customHeight="1" x14ac:dyDescent="0.2">
      <c r="A65" s="646" t="s">
        <v>388</v>
      </c>
      <c r="B65" s="578" t="s">
        <v>484</v>
      </c>
      <c r="C65" s="312"/>
      <c r="D65" s="313" t="s">
        <v>485</v>
      </c>
      <c r="E65" s="312"/>
      <c r="F65" s="580" t="s">
        <v>486</v>
      </c>
      <c r="G65" s="581"/>
      <c r="H65" s="582" t="s">
        <v>487</v>
      </c>
      <c r="I65" s="627"/>
      <c r="J65" s="314"/>
      <c r="K65" s="315"/>
      <c r="L65" s="628"/>
      <c r="M65" s="629"/>
      <c r="N65" s="316"/>
      <c r="O65" s="317"/>
      <c r="P65" s="318"/>
      <c r="Q65" s="301"/>
      <c r="R65" s="301"/>
      <c r="S65" s="315"/>
      <c r="T65" s="315"/>
      <c r="U65" s="315"/>
      <c r="V65" s="315"/>
      <c r="W65" s="315"/>
      <c r="X65" s="315"/>
      <c r="Y65" s="315"/>
      <c r="Z65" s="315"/>
      <c r="AA65" s="319"/>
      <c r="AB65" s="320"/>
      <c r="AC65" s="315"/>
      <c r="AD65" s="315"/>
      <c r="AE65" s="315"/>
      <c r="AF65" s="315"/>
      <c r="AG65" s="321"/>
      <c r="AH65" s="322" t="str">
        <f t="shared" si="6"/>
        <v/>
      </c>
      <c r="AI65" s="323" t="str">
        <f>IF(ISNUMBER(AH65),100*AH65/(#REF!),"")</f>
        <v/>
      </c>
      <c r="AJ65" s="321"/>
      <c r="AK65" s="315"/>
      <c r="AL65" s="315"/>
      <c r="AM65" s="324"/>
      <c r="AN65" s="325"/>
      <c r="AO65" s="321"/>
      <c r="AP65" s="315"/>
      <c r="AQ65" s="321"/>
      <c r="AR65" s="321"/>
      <c r="AS65" s="339"/>
      <c r="AT65" s="318"/>
      <c r="AU65" s="325"/>
      <c r="AV65" s="325"/>
      <c r="AW65" s="325"/>
      <c r="AX65" s="315"/>
      <c r="AY65" s="321"/>
      <c r="AZ65" s="315"/>
      <c r="BA65" s="315"/>
      <c r="BB65" s="321"/>
      <c r="BC65" s="159"/>
      <c r="BD65" s="326"/>
      <c r="BE65" s="315"/>
      <c r="BF65" s="319"/>
      <c r="BG65" s="320"/>
      <c r="BH65" s="321"/>
      <c r="BI65" s="323"/>
      <c r="BJ65" s="262"/>
      <c r="BK65" s="342"/>
      <c r="BL65" s="320"/>
      <c r="BM65" s="321"/>
      <c r="BN65" s="321"/>
      <c r="BO65" s="321"/>
      <c r="BP65" s="321"/>
      <c r="BQ65" s="327"/>
      <c r="BR65" s="318"/>
      <c r="BS65" s="328"/>
      <c r="BT65" s="329"/>
      <c r="BU65" s="340"/>
      <c r="BV65" s="318"/>
      <c r="BW65" s="315"/>
      <c r="BX65" s="315"/>
      <c r="BY65" s="315"/>
      <c r="BZ65" s="315"/>
      <c r="CA65" s="315"/>
      <c r="CB65" s="315"/>
      <c r="CC65" s="330"/>
      <c r="CD65" s="318"/>
      <c r="CE65" s="315"/>
      <c r="CF65" s="315"/>
      <c r="CG65" s="319"/>
      <c r="CH65" s="318"/>
      <c r="CI65" s="319"/>
      <c r="CJ65" s="326"/>
      <c r="CK65" s="315"/>
      <c r="CL65" s="315"/>
      <c r="CM65" s="319"/>
      <c r="CN65" s="326"/>
      <c r="CO65" s="315"/>
      <c r="CP65" s="315"/>
      <c r="CQ65" s="315"/>
      <c r="CR65" s="319"/>
      <c r="CS65" s="318"/>
      <c r="CT65" s="331"/>
      <c r="CU65" s="188"/>
      <c r="CV65" s="332"/>
      <c r="CW65" s="333"/>
      <c r="CX65" s="334"/>
      <c r="CY65" s="318"/>
      <c r="CZ65" s="315"/>
      <c r="DA65" s="335"/>
      <c r="DB65" s="189"/>
      <c r="DC65" s="336"/>
      <c r="DD65" s="323"/>
      <c r="DE65" s="319"/>
      <c r="DF65" s="318"/>
      <c r="DG65" s="315"/>
      <c r="DH65" s="315"/>
      <c r="DI65" s="632"/>
      <c r="DJ65" s="633"/>
      <c r="DK65" s="318"/>
      <c r="DL65" s="315"/>
      <c r="DM65" s="315"/>
      <c r="DN65" s="315"/>
      <c r="DO65" s="315"/>
      <c r="DP65" s="315"/>
      <c r="DQ65" s="330"/>
      <c r="DR65" s="318"/>
      <c r="DS65" s="319"/>
      <c r="DT65" s="318"/>
      <c r="DU65" s="315"/>
      <c r="DV65" s="635"/>
      <c r="DW65" s="318"/>
      <c r="DX65" s="315"/>
      <c r="DY65" s="319"/>
      <c r="DZ65" s="318"/>
      <c r="EA65" s="315"/>
      <c r="EB65" s="315"/>
      <c r="EC65" s="315"/>
      <c r="ED65" s="330"/>
      <c r="EE65" s="318"/>
      <c r="EF65" s="319"/>
      <c r="EG65" s="326"/>
      <c r="EH65" s="315"/>
      <c r="EI65" s="635"/>
      <c r="EJ65" s="318"/>
      <c r="EK65" s="315"/>
      <c r="EL65" s="635"/>
      <c r="EM65" s="189"/>
      <c r="EN65" s="636"/>
      <c r="EO65" s="637"/>
      <c r="EP65" s="638"/>
      <c r="EQ65" s="315"/>
      <c r="ER65" s="315"/>
      <c r="ES65" s="319"/>
      <c r="ET65" s="639">
        <f t="shared" si="1"/>
        <v>1</v>
      </c>
      <c r="EU65" s="640"/>
      <c r="EV65" s="640">
        <f t="shared" si="2"/>
        <v>0</v>
      </c>
      <c r="EW65" s="640"/>
      <c r="EX65" s="641">
        <f t="shared" si="3"/>
        <v>0</v>
      </c>
    </row>
    <row r="66" spans="1:154" s="363" customFormat="1" ht="20.100000000000001" customHeight="1" x14ac:dyDescent="0.2">
      <c r="A66" s="646" t="s">
        <v>389</v>
      </c>
      <c r="B66" s="578" t="s">
        <v>484</v>
      </c>
      <c r="C66" s="312"/>
      <c r="D66" s="313" t="s">
        <v>485</v>
      </c>
      <c r="E66" s="312"/>
      <c r="F66" s="580" t="s">
        <v>486</v>
      </c>
      <c r="G66" s="581"/>
      <c r="H66" s="582" t="s">
        <v>487</v>
      </c>
      <c r="I66" s="627"/>
      <c r="J66" s="314"/>
      <c r="K66" s="315"/>
      <c r="L66" s="628"/>
      <c r="M66" s="629"/>
      <c r="N66" s="316"/>
      <c r="O66" s="317"/>
      <c r="P66" s="318"/>
      <c r="Q66" s="301"/>
      <c r="R66" s="301"/>
      <c r="S66" s="315"/>
      <c r="T66" s="315"/>
      <c r="U66" s="315"/>
      <c r="V66" s="315"/>
      <c r="W66" s="315"/>
      <c r="X66" s="315"/>
      <c r="Y66" s="315"/>
      <c r="Z66" s="315"/>
      <c r="AA66" s="319"/>
      <c r="AB66" s="320"/>
      <c r="AC66" s="315"/>
      <c r="AD66" s="315"/>
      <c r="AE66" s="315"/>
      <c r="AF66" s="315"/>
      <c r="AG66" s="321"/>
      <c r="AH66" s="322" t="str">
        <f t="shared" si="6"/>
        <v/>
      </c>
      <c r="AI66" s="323" t="str">
        <f>IF(ISNUMBER(AH66),100*AH66/(#REF!),"")</f>
        <v/>
      </c>
      <c r="AJ66" s="321"/>
      <c r="AK66" s="315"/>
      <c r="AL66" s="315"/>
      <c r="AM66" s="324"/>
      <c r="AN66" s="325"/>
      <c r="AO66" s="321"/>
      <c r="AP66" s="315"/>
      <c r="AQ66" s="321"/>
      <c r="AR66" s="321"/>
      <c r="AS66" s="339"/>
      <c r="AT66" s="318"/>
      <c r="AU66" s="325"/>
      <c r="AV66" s="325"/>
      <c r="AW66" s="325"/>
      <c r="AX66" s="315"/>
      <c r="AY66" s="321"/>
      <c r="AZ66" s="315"/>
      <c r="BA66" s="315"/>
      <c r="BB66" s="321"/>
      <c r="BC66" s="159"/>
      <c r="BD66" s="326"/>
      <c r="BE66" s="315"/>
      <c r="BF66" s="319"/>
      <c r="BG66" s="320"/>
      <c r="BH66" s="321"/>
      <c r="BI66" s="323"/>
      <c r="BJ66" s="262"/>
      <c r="BK66" s="342"/>
      <c r="BL66" s="320"/>
      <c r="BM66" s="321"/>
      <c r="BN66" s="321"/>
      <c r="BO66" s="321"/>
      <c r="BP66" s="321"/>
      <c r="BQ66" s="327"/>
      <c r="BR66" s="318"/>
      <c r="BS66" s="328"/>
      <c r="BT66" s="329"/>
      <c r="BU66" s="340"/>
      <c r="BV66" s="318"/>
      <c r="BW66" s="315"/>
      <c r="BX66" s="315"/>
      <c r="BY66" s="315"/>
      <c r="BZ66" s="315"/>
      <c r="CA66" s="315"/>
      <c r="CB66" s="315"/>
      <c r="CC66" s="330"/>
      <c r="CD66" s="318"/>
      <c r="CE66" s="315"/>
      <c r="CF66" s="315"/>
      <c r="CG66" s="319"/>
      <c r="CH66" s="318"/>
      <c r="CI66" s="319"/>
      <c r="CJ66" s="326"/>
      <c r="CK66" s="315"/>
      <c r="CL66" s="315"/>
      <c r="CM66" s="319"/>
      <c r="CN66" s="326"/>
      <c r="CO66" s="315"/>
      <c r="CP66" s="315"/>
      <c r="CQ66" s="315"/>
      <c r="CR66" s="319"/>
      <c r="CS66" s="318"/>
      <c r="CT66" s="331"/>
      <c r="CU66" s="188"/>
      <c r="CV66" s="332"/>
      <c r="CW66" s="333"/>
      <c r="CX66" s="334"/>
      <c r="CY66" s="318"/>
      <c r="CZ66" s="315"/>
      <c r="DA66" s="335"/>
      <c r="DB66" s="189"/>
      <c r="DC66" s="336"/>
      <c r="DD66" s="323"/>
      <c r="DE66" s="319"/>
      <c r="DF66" s="318"/>
      <c r="DG66" s="315"/>
      <c r="DH66" s="315"/>
      <c r="DI66" s="632"/>
      <c r="DJ66" s="633"/>
      <c r="DK66" s="318"/>
      <c r="DL66" s="315"/>
      <c r="DM66" s="315"/>
      <c r="DN66" s="315"/>
      <c r="DO66" s="315"/>
      <c r="DP66" s="315"/>
      <c r="DQ66" s="330"/>
      <c r="DR66" s="318"/>
      <c r="DS66" s="319"/>
      <c r="DT66" s="318"/>
      <c r="DU66" s="315"/>
      <c r="DV66" s="635"/>
      <c r="DW66" s="318"/>
      <c r="DX66" s="315"/>
      <c r="DY66" s="319"/>
      <c r="DZ66" s="318"/>
      <c r="EA66" s="315"/>
      <c r="EB66" s="315"/>
      <c r="EC66" s="315"/>
      <c r="ED66" s="330"/>
      <c r="EE66" s="318"/>
      <c r="EF66" s="319"/>
      <c r="EG66" s="326"/>
      <c r="EH66" s="315"/>
      <c r="EI66" s="635"/>
      <c r="EJ66" s="318"/>
      <c r="EK66" s="315"/>
      <c r="EL66" s="635"/>
      <c r="EM66" s="189"/>
      <c r="EN66" s="636"/>
      <c r="EO66" s="637"/>
      <c r="EP66" s="638"/>
      <c r="EQ66" s="315"/>
      <c r="ER66" s="315"/>
      <c r="ES66" s="319"/>
      <c r="ET66" s="639">
        <f t="shared" si="1"/>
        <v>1</v>
      </c>
      <c r="EU66" s="640"/>
      <c r="EV66" s="640">
        <f t="shared" si="2"/>
        <v>0</v>
      </c>
      <c r="EW66" s="640"/>
      <c r="EX66" s="641">
        <f t="shared" si="3"/>
        <v>0</v>
      </c>
    </row>
    <row r="67" spans="1:154" s="363" customFormat="1" ht="20.100000000000001" customHeight="1" x14ac:dyDescent="0.2">
      <c r="A67" s="646" t="s">
        <v>390</v>
      </c>
      <c r="B67" s="578" t="s">
        <v>484</v>
      </c>
      <c r="C67" s="312"/>
      <c r="D67" s="313" t="s">
        <v>485</v>
      </c>
      <c r="E67" s="312"/>
      <c r="F67" s="580" t="s">
        <v>486</v>
      </c>
      <c r="G67" s="581"/>
      <c r="H67" s="582" t="s">
        <v>487</v>
      </c>
      <c r="I67" s="627"/>
      <c r="J67" s="314"/>
      <c r="K67" s="315"/>
      <c r="L67" s="628"/>
      <c r="M67" s="629"/>
      <c r="N67" s="316"/>
      <c r="O67" s="317"/>
      <c r="P67" s="318"/>
      <c r="Q67" s="301"/>
      <c r="R67" s="301"/>
      <c r="S67" s="315"/>
      <c r="T67" s="315"/>
      <c r="U67" s="315"/>
      <c r="V67" s="315"/>
      <c r="W67" s="315"/>
      <c r="X67" s="315"/>
      <c r="Y67" s="315"/>
      <c r="Z67" s="315"/>
      <c r="AA67" s="319"/>
      <c r="AB67" s="320"/>
      <c r="AC67" s="315"/>
      <c r="AD67" s="315"/>
      <c r="AE67" s="315"/>
      <c r="AF67" s="315"/>
      <c r="AG67" s="321"/>
      <c r="AH67" s="322" t="str">
        <f t="shared" si="6"/>
        <v/>
      </c>
      <c r="AI67" s="323" t="str">
        <f>IF(ISNUMBER(AH67),100*AH67/(#REF!),"")</f>
        <v/>
      </c>
      <c r="AJ67" s="321"/>
      <c r="AK67" s="315"/>
      <c r="AL67" s="315"/>
      <c r="AM67" s="324"/>
      <c r="AN67" s="325"/>
      <c r="AO67" s="321"/>
      <c r="AP67" s="315"/>
      <c r="AQ67" s="321"/>
      <c r="AR67" s="321"/>
      <c r="AS67" s="339"/>
      <c r="AT67" s="318"/>
      <c r="AU67" s="325"/>
      <c r="AV67" s="325"/>
      <c r="AW67" s="325"/>
      <c r="AX67" s="315"/>
      <c r="AY67" s="321"/>
      <c r="AZ67" s="315"/>
      <c r="BA67" s="315"/>
      <c r="BB67" s="321"/>
      <c r="BC67" s="159"/>
      <c r="BD67" s="326"/>
      <c r="BE67" s="315"/>
      <c r="BF67" s="319"/>
      <c r="BG67" s="320"/>
      <c r="BH67" s="321"/>
      <c r="BI67" s="323"/>
      <c r="BJ67" s="262"/>
      <c r="BK67" s="342"/>
      <c r="BL67" s="320"/>
      <c r="BM67" s="321"/>
      <c r="BN67" s="321"/>
      <c r="BO67" s="321"/>
      <c r="BP67" s="321"/>
      <c r="BQ67" s="327"/>
      <c r="BR67" s="318"/>
      <c r="BS67" s="328"/>
      <c r="BT67" s="329"/>
      <c r="BU67" s="340"/>
      <c r="BV67" s="318"/>
      <c r="BW67" s="315"/>
      <c r="BX67" s="315"/>
      <c r="BY67" s="315"/>
      <c r="BZ67" s="315"/>
      <c r="CA67" s="315"/>
      <c r="CB67" s="315"/>
      <c r="CC67" s="330"/>
      <c r="CD67" s="318"/>
      <c r="CE67" s="315"/>
      <c r="CF67" s="315"/>
      <c r="CG67" s="319"/>
      <c r="CH67" s="318"/>
      <c r="CI67" s="319"/>
      <c r="CJ67" s="326"/>
      <c r="CK67" s="315"/>
      <c r="CL67" s="315"/>
      <c r="CM67" s="319"/>
      <c r="CN67" s="326"/>
      <c r="CO67" s="315"/>
      <c r="CP67" s="315"/>
      <c r="CQ67" s="315"/>
      <c r="CR67" s="319"/>
      <c r="CS67" s="318"/>
      <c r="CT67" s="331"/>
      <c r="CU67" s="188"/>
      <c r="CV67" s="332"/>
      <c r="CW67" s="333"/>
      <c r="CX67" s="334"/>
      <c r="CY67" s="318"/>
      <c r="CZ67" s="315"/>
      <c r="DA67" s="335"/>
      <c r="DB67" s="189"/>
      <c r="DC67" s="336"/>
      <c r="DD67" s="323"/>
      <c r="DE67" s="319"/>
      <c r="DF67" s="318"/>
      <c r="DG67" s="315"/>
      <c r="DH67" s="315"/>
      <c r="DI67" s="632"/>
      <c r="DJ67" s="633"/>
      <c r="DK67" s="318"/>
      <c r="DL67" s="315"/>
      <c r="DM67" s="315"/>
      <c r="DN67" s="315"/>
      <c r="DO67" s="315"/>
      <c r="DP67" s="315"/>
      <c r="DQ67" s="330"/>
      <c r="DR67" s="318"/>
      <c r="DS67" s="319"/>
      <c r="DT67" s="318"/>
      <c r="DU67" s="315"/>
      <c r="DV67" s="635"/>
      <c r="DW67" s="318"/>
      <c r="DX67" s="315"/>
      <c r="DY67" s="319"/>
      <c r="DZ67" s="318"/>
      <c r="EA67" s="315"/>
      <c r="EB67" s="315"/>
      <c r="EC67" s="315"/>
      <c r="ED67" s="330"/>
      <c r="EE67" s="318"/>
      <c r="EF67" s="319"/>
      <c r="EG67" s="326"/>
      <c r="EH67" s="315"/>
      <c r="EI67" s="635"/>
      <c r="EJ67" s="318"/>
      <c r="EK67" s="315"/>
      <c r="EL67" s="635"/>
      <c r="EM67" s="189"/>
      <c r="EN67" s="636"/>
      <c r="EO67" s="637"/>
      <c r="EP67" s="638"/>
      <c r="EQ67" s="315"/>
      <c r="ER67" s="315"/>
      <c r="ES67" s="319"/>
      <c r="ET67" s="639">
        <f t="shared" si="1"/>
        <v>1</v>
      </c>
      <c r="EU67" s="640"/>
      <c r="EV67" s="640">
        <f t="shared" si="2"/>
        <v>0</v>
      </c>
      <c r="EW67" s="640"/>
      <c r="EX67" s="641">
        <f t="shared" si="3"/>
        <v>0</v>
      </c>
    </row>
    <row r="68" spans="1:154" s="363" customFormat="1" ht="20.100000000000001" customHeight="1" x14ac:dyDescent="0.2">
      <c r="A68" s="646" t="s">
        <v>391</v>
      </c>
      <c r="B68" s="578" t="s">
        <v>484</v>
      </c>
      <c r="C68" s="312"/>
      <c r="D68" s="313" t="s">
        <v>485</v>
      </c>
      <c r="E68" s="312"/>
      <c r="F68" s="580" t="s">
        <v>486</v>
      </c>
      <c r="G68" s="581"/>
      <c r="H68" s="582" t="s">
        <v>487</v>
      </c>
      <c r="I68" s="627"/>
      <c r="J68" s="314"/>
      <c r="K68" s="315"/>
      <c r="L68" s="628"/>
      <c r="M68" s="629"/>
      <c r="N68" s="316"/>
      <c r="O68" s="317"/>
      <c r="P68" s="318"/>
      <c r="Q68" s="301"/>
      <c r="R68" s="301"/>
      <c r="S68" s="315"/>
      <c r="T68" s="315"/>
      <c r="U68" s="315"/>
      <c r="V68" s="315"/>
      <c r="W68" s="315"/>
      <c r="X68" s="315"/>
      <c r="Y68" s="315"/>
      <c r="Z68" s="315"/>
      <c r="AA68" s="319"/>
      <c r="AB68" s="320"/>
      <c r="AC68" s="315"/>
      <c r="AD68" s="315"/>
      <c r="AE68" s="315"/>
      <c r="AF68" s="315"/>
      <c r="AG68" s="321"/>
      <c r="AH68" s="322" t="str">
        <f t="shared" si="6"/>
        <v/>
      </c>
      <c r="AI68" s="323" t="str">
        <f>IF(ISNUMBER(AH68),100*AH68/(#REF!),"")</f>
        <v/>
      </c>
      <c r="AJ68" s="321"/>
      <c r="AK68" s="315"/>
      <c r="AL68" s="315"/>
      <c r="AM68" s="324"/>
      <c r="AN68" s="325"/>
      <c r="AO68" s="321"/>
      <c r="AP68" s="315"/>
      <c r="AQ68" s="321"/>
      <c r="AR68" s="321"/>
      <c r="AS68" s="339"/>
      <c r="AT68" s="318"/>
      <c r="AU68" s="325"/>
      <c r="AV68" s="325"/>
      <c r="AW68" s="325"/>
      <c r="AX68" s="315"/>
      <c r="AY68" s="321"/>
      <c r="AZ68" s="315"/>
      <c r="BA68" s="315"/>
      <c r="BB68" s="321"/>
      <c r="BC68" s="159"/>
      <c r="BD68" s="326"/>
      <c r="BE68" s="315"/>
      <c r="BF68" s="319"/>
      <c r="BG68" s="320"/>
      <c r="BH68" s="321"/>
      <c r="BI68" s="323"/>
      <c r="BJ68" s="262"/>
      <c r="BK68" s="342"/>
      <c r="BL68" s="320"/>
      <c r="BM68" s="321"/>
      <c r="BN68" s="321"/>
      <c r="BO68" s="321"/>
      <c r="BP68" s="321"/>
      <c r="BQ68" s="327"/>
      <c r="BR68" s="318"/>
      <c r="BS68" s="328"/>
      <c r="BT68" s="329"/>
      <c r="BU68" s="340"/>
      <c r="BV68" s="318"/>
      <c r="BW68" s="315"/>
      <c r="BX68" s="315"/>
      <c r="BY68" s="315"/>
      <c r="BZ68" s="315"/>
      <c r="CA68" s="315"/>
      <c r="CB68" s="315"/>
      <c r="CC68" s="330"/>
      <c r="CD68" s="318"/>
      <c r="CE68" s="315"/>
      <c r="CF68" s="315"/>
      <c r="CG68" s="319"/>
      <c r="CH68" s="318"/>
      <c r="CI68" s="319"/>
      <c r="CJ68" s="326"/>
      <c r="CK68" s="315"/>
      <c r="CL68" s="315"/>
      <c r="CM68" s="319"/>
      <c r="CN68" s="326"/>
      <c r="CO68" s="315"/>
      <c r="CP68" s="315"/>
      <c r="CQ68" s="315"/>
      <c r="CR68" s="319"/>
      <c r="CS68" s="318"/>
      <c r="CT68" s="331"/>
      <c r="CU68" s="188"/>
      <c r="CV68" s="332"/>
      <c r="CW68" s="333"/>
      <c r="CX68" s="334"/>
      <c r="CY68" s="318"/>
      <c r="CZ68" s="315"/>
      <c r="DA68" s="335"/>
      <c r="DB68" s="189"/>
      <c r="DC68" s="336"/>
      <c r="DD68" s="323"/>
      <c r="DE68" s="319"/>
      <c r="DF68" s="318"/>
      <c r="DG68" s="315"/>
      <c r="DH68" s="315"/>
      <c r="DI68" s="632"/>
      <c r="DJ68" s="633"/>
      <c r="DK68" s="318"/>
      <c r="DL68" s="315"/>
      <c r="DM68" s="315"/>
      <c r="DN68" s="315"/>
      <c r="DO68" s="315"/>
      <c r="DP68" s="315"/>
      <c r="DQ68" s="330"/>
      <c r="DR68" s="318"/>
      <c r="DS68" s="319"/>
      <c r="DT68" s="318"/>
      <c r="DU68" s="315"/>
      <c r="DV68" s="635"/>
      <c r="DW68" s="318"/>
      <c r="DX68" s="315"/>
      <c r="DY68" s="319"/>
      <c r="DZ68" s="318"/>
      <c r="EA68" s="315"/>
      <c r="EB68" s="315"/>
      <c r="EC68" s="315"/>
      <c r="ED68" s="330"/>
      <c r="EE68" s="318"/>
      <c r="EF68" s="319"/>
      <c r="EG68" s="326"/>
      <c r="EH68" s="315"/>
      <c r="EI68" s="635"/>
      <c r="EJ68" s="318"/>
      <c r="EK68" s="315"/>
      <c r="EL68" s="635"/>
      <c r="EM68" s="189"/>
      <c r="EN68" s="636"/>
      <c r="EO68" s="637"/>
      <c r="EP68" s="638"/>
      <c r="EQ68" s="315"/>
      <c r="ER68" s="315"/>
      <c r="ES68" s="319"/>
      <c r="ET68" s="639">
        <f t="shared" si="1"/>
        <v>1</v>
      </c>
      <c r="EU68" s="640"/>
      <c r="EV68" s="640">
        <f t="shared" si="2"/>
        <v>0</v>
      </c>
      <c r="EW68" s="640"/>
      <c r="EX68" s="641">
        <f t="shared" si="3"/>
        <v>0</v>
      </c>
    </row>
    <row r="69" spans="1:154" s="363" customFormat="1" ht="20.100000000000001" customHeight="1" x14ac:dyDescent="0.2">
      <c r="A69" s="646" t="s">
        <v>392</v>
      </c>
      <c r="B69" s="578" t="s">
        <v>484</v>
      </c>
      <c r="C69" s="312"/>
      <c r="D69" s="313" t="s">
        <v>485</v>
      </c>
      <c r="E69" s="312"/>
      <c r="F69" s="580" t="s">
        <v>486</v>
      </c>
      <c r="G69" s="581"/>
      <c r="H69" s="582" t="s">
        <v>487</v>
      </c>
      <c r="I69" s="627"/>
      <c r="J69" s="314"/>
      <c r="K69" s="315"/>
      <c r="L69" s="628"/>
      <c r="M69" s="629"/>
      <c r="N69" s="316"/>
      <c r="O69" s="317"/>
      <c r="P69" s="318"/>
      <c r="Q69" s="301"/>
      <c r="R69" s="301"/>
      <c r="S69" s="315"/>
      <c r="T69" s="315"/>
      <c r="U69" s="315"/>
      <c r="V69" s="315"/>
      <c r="W69" s="315"/>
      <c r="X69" s="315"/>
      <c r="Y69" s="315"/>
      <c r="Z69" s="315"/>
      <c r="AA69" s="319"/>
      <c r="AB69" s="320"/>
      <c r="AC69" s="315"/>
      <c r="AD69" s="315"/>
      <c r="AE69" s="315"/>
      <c r="AF69" s="315"/>
      <c r="AG69" s="321"/>
      <c r="AH69" s="322" t="str">
        <f t="shared" si="6"/>
        <v/>
      </c>
      <c r="AI69" s="323" t="str">
        <f>IF(ISNUMBER(AH69),100*AH69/(#REF!),"")</f>
        <v/>
      </c>
      <c r="AJ69" s="321"/>
      <c r="AK69" s="315"/>
      <c r="AL69" s="315"/>
      <c r="AM69" s="324"/>
      <c r="AN69" s="325"/>
      <c r="AO69" s="321"/>
      <c r="AP69" s="315"/>
      <c r="AQ69" s="321"/>
      <c r="AR69" s="321"/>
      <c r="AS69" s="339"/>
      <c r="AT69" s="318"/>
      <c r="AU69" s="325"/>
      <c r="AV69" s="325"/>
      <c r="AW69" s="325"/>
      <c r="AX69" s="315"/>
      <c r="AY69" s="321"/>
      <c r="AZ69" s="315"/>
      <c r="BA69" s="315"/>
      <c r="BB69" s="321"/>
      <c r="BC69" s="159"/>
      <c r="BD69" s="326"/>
      <c r="BE69" s="315"/>
      <c r="BF69" s="319"/>
      <c r="BG69" s="320"/>
      <c r="BH69" s="321"/>
      <c r="BI69" s="323"/>
      <c r="BJ69" s="262"/>
      <c r="BK69" s="342"/>
      <c r="BL69" s="320"/>
      <c r="BM69" s="321"/>
      <c r="BN69" s="321"/>
      <c r="BO69" s="321"/>
      <c r="BP69" s="321"/>
      <c r="BQ69" s="327"/>
      <c r="BR69" s="318"/>
      <c r="BS69" s="328"/>
      <c r="BT69" s="329"/>
      <c r="BU69" s="340"/>
      <c r="BV69" s="318"/>
      <c r="BW69" s="315"/>
      <c r="BX69" s="315"/>
      <c r="BY69" s="315"/>
      <c r="BZ69" s="315"/>
      <c r="CA69" s="315"/>
      <c r="CB69" s="315"/>
      <c r="CC69" s="330"/>
      <c r="CD69" s="318"/>
      <c r="CE69" s="315"/>
      <c r="CF69" s="315"/>
      <c r="CG69" s="319"/>
      <c r="CH69" s="318"/>
      <c r="CI69" s="319"/>
      <c r="CJ69" s="326"/>
      <c r="CK69" s="315"/>
      <c r="CL69" s="315"/>
      <c r="CM69" s="319"/>
      <c r="CN69" s="326"/>
      <c r="CO69" s="315"/>
      <c r="CP69" s="315"/>
      <c r="CQ69" s="315"/>
      <c r="CR69" s="319"/>
      <c r="CS69" s="318"/>
      <c r="CT69" s="331"/>
      <c r="CU69" s="188"/>
      <c r="CV69" s="332"/>
      <c r="CW69" s="333"/>
      <c r="CX69" s="334"/>
      <c r="CY69" s="318"/>
      <c r="CZ69" s="315"/>
      <c r="DA69" s="335"/>
      <c r="DB69" s="189"/>
      <c r="DC69" s="336"/>
      <c r="DD69" s="323"/>
      <c r="DE69" s="319"/>
      <c r="DF69" s="318"/>
      <c r="DG69" s="315"/>
      <c r="DH69" s="315"/>
      <c r="DI69" s="632"/>
      <c r="DJ69" s="633"/>
      <c r="DK69" s="318"/>
      <c r="DL69" s="315"/>
      <c r="DM69" s="315"/>
      <c r="DN69" s="315"/>
      <c r="DO69" s="315"/>
      <c r="DP69" s="315"/>
      <c r="DQ69" s="330"/>
      <c r="DR69" s="318"/>
      <c r="DS69" s="319"/>
      <c r="DT69" s="318"/>
      <c r="DU69" s="315"/>
      <c r="DV69" s="635"/>
      <c r="DW69" s="318"/>
      <c r="DX69" s="315"/>
      <c r="DY69" s="319"/>
      <c r="DZ69" s="318"/>
      <c r="EA69" s="315"/>
      <c r="EB69" s="315"/>
      <c r="EC69" s="315"/>
      <c r="ED69" s="330"/>
      <c r="EE69" s="318"/>
      <c r="EF69" s="319"/>
      <c r="EG69" s="326"/>
      <c r="EH69" s="315"/>
      <c r="EI69" s="635"/>
      <c r="EJ69" s="318"/>
      <c r="EK69" s="315"/>
      <c r="EL69" s="635"/>
      <c r="EM69" s="189"/>
      <c r="EN69" s="636"/>
      <c r="EO69" s="637"/>
      <c r="EP69" s="638"/>
      <c r="EQ69" s="315"/>
      <c r="ER69" s="315"/>
      <c r="ES69" s="319"/>
      <c r="ET69" s="639">
        <f t="shared" si="1"/>
        <v>1</v>
      </c>
      <c r="EU69" s="640"/>
      <c r="EV69" s="640">
        <f t="shared" si="2"/>
        <v>0</v>
      </c>
      <c r="EW69" s="640"/>
      <c r="EX69" s="641">
        <f t="shared" si="3"/>
        <v>0</v>
      </c>
    </row>
    <row r="70" spans="1:154" s="363" customFormat="1" ht="20.100000000000001" customHeight="1" x14ac:dyDescent="0.2">
      <c r="A70" s="646" t="s">
        <v>393</v>
      </c>
      <c r="B70" s="578" t="s">
        <v>484</v>
      </c>
      <c r="C70" s="312"/>
      <c r="D70" s="313" t="s">
        <v>485</v>
      </c>
      <c r="E70" s="312"/>
      <c r="F70" s="580" t="s">
        <v>486</v>
      </c>
      <c r="G70" s="581"/>
      <c r="H70" s="582" t="s">
        <v>487</v>
      </c>
      <c r="I70" s="627"/>
      <c r="J70" s="314"/>
      <c r="K70" s="315"/>
      <c r="L70" s="628"/>
      <c r="M70" s="629"/>
      <c r="N70" s="316"/>
      <c r="O70" s="317"/>
      <c r="P70" s="318"/>
      <c r="Q70" s="301"/>
      <c r="R70" s="301"/>
      <c r="S70" s="315"/>
      <c r="T70" s="315"/>
      <c r="U70" s="315"/>
      <c r="V70" s="315"/>
      <c r="W70" s="315"/>
      <c r="X70" s="315"/>
      <c r="Y70" s="315"/>
      <c r="Z70" s="315"/>
      <c r="AA70" s="319"/>
      <c r="AB70" s="320"/>
      <c r="AC70" s="315"/>
      <c r="AD70" s="315"/>
      <c r="AE70" s="315"/>
      <c r="AF70" s="315"/>
      <c r="AG70" s="321"/>
      <c r="AH70" s="322" t="str">
        <f t="shared" si="6"/>
        <v/>
      </c>
      <c r="AI70" s="323" t="str">
        <f>IF(ISNUMBER(AH70),100*AH70/(#REF!),"")</f>
        <v/>
      </c>
      <c r="AJ70" s="321"/>
      <c r="AK70" s="315"/>
      <c r="AL70" s="315"/>
      <c r="AM70" s="324"/>
      <c r="AN70" s="325"/>
      <c r="AO70" s="321"/>
      <c r="AP70" s="315"/>
      <c r="AQ70" s="321"/>
      <c r="AR70" s="321"/>
      <c r="AS70" s="339"/>
      <c r="AT70" s="318"/>
      <c r="AU70" s="325"/>
      <c r="AV70" s="325"/>
      <c r="AW70" s="325"/>
      <c r="AX70" s="315"/>
      <c r="AY70" s="321"/>
      <c r="AZ70" s="315"/>
      <c r="BA70" s="315"/>
      <c r="BB70" s="321"/>
      <c r="BC70" s="159"/>
      <c r="BD70" s="326"/>
      <c r="BE70" s="315"/>
      <c r="BF70" s="319"/>
      <c r="BG70" s="320"/>
      <c r="BH70" s="321"/>
      <c r="BI70" s="323"/>
      <c r="BJ70" s="262"/>
      <c r="BK70" s="342"/>
      <c r="BL70" s="320"/>
      <c r="BM70" s="321"/>
      <c r="BN70" s="321"/>
      <c r="BO70" s="321"/>
      <c r="BP70" s="321"/>
      <c r="BQ70" s="327"/>
      <c r="BR70" s="318"/>
      <c r="BS70" s="328"/>
      <c r="BT70" s="329"/>
      <c r="BU70" s="340"/>
      <c r="BV70" s="318"/>
      <c r="BW70" s="315"/>
      <c r="BX70" s="315"/>
      <c r="BY70" s="315"/>
      <c r="BZ70" s="315"/>
      <c r="CA70" s="315"/>
      <c r="CB70" s="315"/>
      <c r="CC70" s="330"/>
      <c r="CD70" s="318"/>
      <c r="CE70" s="315"/>
      <c r="CF70" s="315"/>
      <c r="CG70" s="319"/>
      <c r="CH70" s="318"/>
      <c r="CI70" s="319"/>
      <c r="CJ70" s="326"/>
      <c r="CK70" s="315"/>
      <c r="CL70" s="315"/>
      <c r="CM70" s="319"/>
      <c r="CN70" s="326"/>
      <c r="CO70" s="315"/>
      <c r="CP70" s="315"/>
      <c r="CQ70" s="315"/>
      <c r="CR70" s="319"/>
      <c r="CS70" s="318"/>
      <c r="CT70" s="331"/>
      <c r="CU70" s="188"/>
      <c r="CV70" s="332"/>
      <c r="CW70" s="333"/>
      <c r="CX70" s="334"/>
      <c r="CY70" s="318"/>
      <c r="CZ70" s="315"/>
      <c r="DA70" s="335"/>
      <c r="DB70" s="189"/>
      <c r="DC70" s="336"/>
      <c r="DD70" s="323"/>
      <c r="DE70" s="319"/>
      <c r="DF70" s="318"/>
      <c r="DG70" s="315"/>
      <c r="DH70" s="315"/>
      <c r="DI70" s="632"/>
      <c r="DJ70" s="633"/>
      <c r="DK70" s="318"/>
      <c r="DL70" s="315"/>
      <c r="DM70" s="315"/>
      <c r="DN70" s="315"/>
      <c r="DO70" s="315"/>
      <c r="DP70" s="315"/>
      <c r="DQ70" s="330"/>
      <c r="DR70" s="318"/>
      <c r="DS70" s="319"/>
      <c r="DT70" s="318"/>
      <c r="DU70" s="315"/>
      <c r="DV70" s="635"/>
      <c r="DW70" s="318"/>
      <c r="DX70" s="315"/>
      <c r="DY70" s="319"/>
      <c r="DZ70" s="318"/>
      <c r="EA70" s="315"/>
      <c r="EB70" s="315"/>
      <c r="EC70" s="315"/>
      <c r="ED70" s="330"/>
      <c r="EE70" s="318"/>
      <c r="EF70" s="319"/>
      <c r="EG70" s="326"/>
      <c r="EH70" s="315"/>
      <c r="EI70" s="635"/>
      <c r="EJ70" s="318"/>
      <c r="EK70" s="315"/>
      <c r="EL70" s="635"/>
      <c r="EM70" s="189"/>
      <c r="EN70" s="636"/>
      <c r="EO70" s="637"/>
      <c r="EP70" s="638"/>
      <c r="EQ70" s="315"/>
      <c r="ER70" s="315"/>
      <c r="ES70" s="319"/>
      <c r="ET70" s="639">
        <f t="shared" si="1"/>
        <v>1</v>
      </c>
      <c r="EU70" s="640"/>
      <c r="EV70" s="640">
        <f t="shared" si="2"/>
        <v>0</v>
      </c>
      <c r="EW70" s="640"/>
      <c r="EX70" s="641">
        <f t="shared" si="3"/>
        <v>0</v>
      </c>
    </row>
    <row r="71" spans="1:154" s="363" customFormat="1" ht="20.100000000000001" customHeight="1" x14ac:dyDescent="0.2">
      <c r="A71" s="646" t="s">
        <v>394</v>
      </c>
      <c r="B71" s="578" t="s">
        <v>484</v>
      </c>
      <c r="C71" s="312"/>
      <c r="D71" s="313" t="s">
        <v>485</v>
      </c>
      <c r="E71" s="312"/>
      <c r="F71" s="580" t="s">
        <v>486</v>
      </c>
      <c r="G71" s="581"/>
      <c r="H71" s="582" t="s">
        <v>487</v>
      </c>
      <c r="I71" s="627"/>
      <c r="J71" s="314"/>
      <c r="K71" s="315"/>
      <c r="L71" s="628"/>
      <c r="M71" s="629"/>
      <c r="N71" s="316"/>
      <c r="O71" s="317"/>
      <c r="P71" s="318"/>
      <c r="Q71" s="301"/>
      <c r="R71" s="301"/>
      <c r="S71" s="315"/>
      <c r="T71" s="315"/>
      <c r="U71" s="315"/>
      <c r="V71" s="315"/>
      <c r="W71" s="315"/>
      <c r="X71" s="315"/>
      <c r="Y71" s="315"/>
      <c r="Z71" s="315"/>
      <c r="AA71" s="319"/>
      <c r="AB71" s="320"/>
      <c r="AC71" s="315"/>
      <c r="AD71" s="315"/>
      <c r="AE71" s="315"/>
      <c r="AF71" s="315"/>
      <c r="AG71" s="321"/>
      <c r="AH71" s="322" t="str">
        <f t="shared" si="6"/>
        <v/>
      </c>
      <c r="AI71" s="323" t="str">
        <f>IF(ISNUMBER(AH71),100*AH71/(#REF!),"")</f>
        <v/>
      </c>
      <c r="AJ71" s="321"/>
      <c r="AK71" s="315"/>
      <c r="AL71" s="315"/>
      <c r="AM71" s="324"/>
      <c r="AN71" s="325"/>
      <c r="AO71" s="321"/>
      <c r="AP71" s="315"/>
      <c r="AQ71" s="321"/>
      <c r="AR71" s="321"/>
      <c r="AS71" s="649"/>
      <c r="AT71" s="318"/>
      <c r="AU71" s="325"/>
      <c r="AV71" s="325"/>
      <c r="AW71" s="325"/>
      <c r="AX71" s="315"/>
      <c r="AY71" s="321"/>
      <c r="AZ71" s="315"/>
      <c r="BA71" s="315"/>
      <c r="BB71" s="321"/>
      <c r="BC71" s="159"/>
      <c r="BD71" s="326"/>
      <c r="BE71" s="315"/>
      <c r="BF71" s="319"/>
      <c r="BG71" s="320"/>
      <c r="BH71" s="321"/>
      <c r="BI71" s="323"/>
      <c r="BJ71" s="262"/>
      <c r="BK71" s="342"/>
      <c r="BL71" s="320"/>
      <c r="BM71" s="321"/>
      <c r="BN71" s="321"/>
      <c r="BO71" s="321"/>
      <c r="BP71" s="321"/>
      <c r="BQ71" s="327"/>
      <c r="BR71" s="318"/>
      <c r="BS71" s="328"/>
      <c r="BT71" s="329"/>
      <c r="BU71" s="340"/>
      <c r="BV71" s="318"/>
      <c r="BW71" s="315"/>
      <c r="BX71" s="315"/>
      <c r="BY71" s="315"/>
      <c r="BZ71" s="315"/>
      <c r="CA71" s="315"/>
      <c r="CB71" s="315"/>
      <c r="CC71" s="330"/>
      <c r="CD71" s="318"/>
      <c r="CE71" s="315"/>
      <c r="CF71" s="315"/>
      <c r="CG71" s="319"/>
      <c r="CH71" s="318"/>
      <c r="CI71" s="319"/>
      <c r="CJ71" s="326"/>
      <c r="CK71" s="315"/>
      <c r="CL71" s="315"/>
      <c r="CM71" s="319"/>
      <c r="CN71" s="326"/>
      <c r="CO71" s="315"/>
      <c r="CP71" s="315"/>
      <c r="CQ71" s="315"/>
      <c r="CR71" s="319"/>
      <c r="CS71" s="318"/>
      <c r="CT71" s="331"/>
      <c r="CU71" s="188"/>
      <c r="CV71" s="332"/>
      <c r="CW71" s="333"/>
      <c r="CX71" s="334"/>
      <c r="CY71" s="318"/>
      <c r="CZ71" s="315"/>
      <c r="DA71" s="335"/>
      <c r="DB71" s="189"/>
      <c r="DC71" s="336"/>
      <c r="DD71" s="323"/>
      <c r="DE71" s="319"/>
      <c r="DF71" s="318"/>
      <c r="DG71" s="315"/>
      <c r="DH71" s="315"/>
      <c r="DI71" s="632"/>
      <c r="DJ71" s="633"/>
      <c r="DK71" s="318"/>
      <c r="DL71" s="315"/>
      <c r="DM71" s="315"/>
      <c r="DN71" s="315"/>
      <c r="DO71" s="315"/>
      <c r="DP71" s="315"/>
      <c r="DQ71" s="330"/>
      <c r="DR71" s="318"/>
      <c r="DS71" s="319"/>
      <c r="DT71" s="318"/>
      <c r="DU71" s="315"/>
      <c r="DV71" s="635"/>
      <c r="DW71" s="318"/>
      <c r="DX71" s="315"/>
      <c r="DY71" s="319"/>
      <c r="DZ71" s="318"/>
      <c r="EA71" s="315"/>
      <c r="EB71" s="315"/>
      <c r="EC71" s="315"/>
      <c r="ED71" s="330"/>
      <c r="EE71" s="318"/>
      <c r="EF71" s="319"/>
      <c r="EG71" s="326"/>
      <c r="EH71" s="315"/>
      <c r="EI71" s="635"/>
      <c r="EJ71" s="318"/>
      <c r="EK71" s="315"/>
      <c r="EL71" s="635"/>
      <c r="EM71" s="189"/>
      <c r="EN71" s="636"/>
      <c r="EO71" s="637"/>
      <c r="EP71" s="638"/>
      <c r="EQ71" s="315"/>
      <c r="ER71" s="315"/>
      <c r="ES71" s="319"/>
      <c r="ET71" s="639">
        <f t="shared" si="1"/>
        <v>1</v>
      </c>
      <c r="EU71" s="640"/>
      <c r="EV71" s="640">
        <f t="shared" si="2"/>
        <v>0</v>
      </c>
      <c r="EW71" s="640"/>
      <c r="EX71" s="641">
        <f t="shared" si="3"/>
        <v>0</v>
      </c>
    </row>
    <row r="72" spans="1:154" s="363" customFormat="1" ht="20.100000000000001" customHeight="1" x14ac:dyDescent="0.2">
      <c r="A72" s="646" t="s">
        <v>395</v>
      </c>
      <c r="B72" s="578" t="s">
        <v>484</v>
      </c>
      <c r="C72" s="312"/>
      <c r="D72" s="313" t="s">
        <v>485</v>
      </c>
      <c r="E72" s="312"/>
      <c r="F72" s="580" t="s">
        <v>486</v>
      </c>
      <c r="G72" s="581"/>
      <c r="H72" s="582" t="s">
        <v>487</v>
      </c>
      <c r="I72" s="627"/>
      <c r="J72" s="314"/>
      <c r="K72" s="315"/>
      <c r="L72" s="628"/>
      <c r="M72" s="629"/>
      <c r="N72" s="316"/>
      <c r="O72" s="317"/>
      <c r="P72" s="318"/>
      <c r="Q72" s="301"/>
      <c r="R72" s="301"/>
      <c r="S72" s="315"/>
      <c r="T72" s="315"/>
      <c r="U72" s="315"/>
      <c r="V72" s="315"/>
      <c r="W72" s="315"/>
      <c r="X72" s="315"/>
      <c r="Y72" s="315"/>
      <c r="Z72" s="315"/>
      <c r="AA72" s="319"/>
      <c r="AB72" s="320"/>
      <c r="AC72" s="315"/>
      <c r="AD72" s="315"/>
      <c r="AE72" s="315"/>
      <c r="AF72" s="315"/>
      <c r="AG72" s="321"/>
      <c r="AH72" s="322" t="str">
        <f t="shared" si="6"/>
        <v/>
      </c>
      <c r="AI72" s="323" t="str">
        <f>IF(ISNUMBER(AH72),100*AH72/(#REF!),"")</f>
        <v/>
      </c>
      <c r="AJ72" s="321"/>
      <c r="AK72" s="315"/>
      <c r="AL72" s="315"/>
      <c r="AM72" s="324"/>
      <c r="AN72" s="325"/>
      <c r="AO72" s="321"/>
      <c r="AP72" s="315"/>
      <c r="AQ72" s="321"/>
      <c r="AR72" s="321"/>
      <c r="AS72" s="339"/>
      <c r="AT72" s="318"/>
      <c r="AU72" s="325"/>
      <c r="AV72" s="325"/>
      <c r="AW72" s="325"/>
      <c r="AX72" s="315"/>
      <c r="AY72" s="321"/>
      <c r="AZ72" s="315"/>
      <c r="BA72" s="315"/>
      <c r="BB72" s="321"/>
      <c r="BC72" s="159"/>
      <c r="BD72" s="326"/>
      <c r="BE72" s="315"/>
      <c r="BF72" s="319"/>
      <c r="BG72" s="320"/>
      <c r="BH72" s="321"/>
      <c r="BI72" s="323"/>
      <c r="BJ72" s="262"/>
      <c r="BK72" s="342"/>
      <c r="BL72" s="320"/>
      <c r="BM72" s="321"/>
      <c r="BN72" s="321"/>
      <c r="BO72" s="321"/>
      <c r="BP72" s="321"/>
      <c r="BQ72" s="327"/>
      <c r="BR72" s="318"/>
      <c r="BS72" s="328"/>
      <c r="BT72" s="329"/>
      <c r="BU72" s="340"/>
      <c r="BV72" s="318"/>
      <c r="BW72" s="315"/>
      <c r="BX72" s="315"/>
      <c r="BY72" s="315"/>
      <c r="BZ72" s="315"/>
      <c r="CA72" s="315"/>
      <c r="CB72" s="315"/>
      <c r="CC72" s="330"/>
      <c r="CD72" s="318"/>
      <c r="CE72" s="315"/>
      <c r="CF72" s="315"/>
      <c r="CG72" s="319"/>
      <c r="CH72" s="318"/>
      <c r="CI72" s="319"/>
      <c r="CJ72" s="326"/>
      <c r="CK72" s="315"/>
      <c r="CL72" s="315"/>
      <c r="CM72" s="319"/>
      <c r="CN72" s="326"/>
      <c r="CO72" s="315"/>
      <c r="CP72" s="315"/>
      <c r="CQ72" s="315"/>
      <c r="CR72" s="319"/>
      <c r="CS72" s="318"/>
      <c r="CT72" s="331"/>
      <c r="CU72" s="188"/>
      <c r="CV72" s="332"/>
      <c r="CW72" s="333"/>
      <c r="CX72" s="334"/>
      <c r="CY72" s="318"/>
      <c r="CZ72" s="315"/>
      <c r="DA72" s="335"/>
      <c r="DB72" s="189"/>
      <c r="DC72" s="336"/>
      <c r="DD72" s="323"/>
      <c r="DE72" s="319"/>
      <c r="DF72" s="318"/>
      <c r="DG72" s="315"/>
      <c r="DH72" s="315"/>
      <c r="DI72" s="632"/>
      <c r="DJ72" s="633"/>
      <c r="DK72" s="318"/>
      <c r="DL72" s="315"/>
      <c r="DM72" s="315"/>
      <c r="DN72" s="315"/>
      <c r="DO72" s="315"/>
      <c r="DP72" s="315"/>
      <c r="DQ72" s="330"/>
      <c r="DR72" s="318"/>
      <c r="DS72" s="319"/>
      <c r="DT72" s="318"/>
      <c r="DU72" s="315"/>
      <c r="DV72" s="635"/>
      <c r="DW72" s="318"/>
      <c r="DX72" s="315"/>
      <c r="DY72" s="319"/>
      <c r="DZ72" s="318"/>
      <c r="EA72" s="315"/>
      <c r="EB72" s="315"/>
      <c r="EC72" s="315"/>
      <c r="ED72" s="330"/>
      <c r="EE72" s="318"/>
      <c r="EF72" s="319"/>
      <c r="EG72" s="326"/>
      <c r="EH72" s="315"/>
      <c r="EI72" s="635"/>
      <c r="EJ72" s="318"/>
      <c r="EK72" s="315"/>
      <c r="EL72" s="635"/>
      <c r="EM72" s="189"/>
      <c r="EN72" s="636"/>
      <c r="EO72" s="637"/>
      <c r="EP72" s="638"/>
      <c r="EQ72" s="315"/>
      <c r="ER72" s="315"/>
      <c r="ES72" s="319"/>
      <c r="ET72" s="639">
        <f t="shared" si="1"/>
        <v>1</v>
      </c>
      <c r="EU72" s="640"/>
      <c r="EV72" s="640">
        <f t="shared" si="2"/>
        <v>0</v>
      </c>
      <c r="EW72" s="640"/>
      <c r="EX72" s="641">
        <f t="shared" si="3"/>
        <v>0</v>
      </c>
    </row>
    <row r="73" spans="1:154" s="363" customFormat="1" ht="20.100000000000001" customHeight="1" x14ac:dyDescent="0.2">
      <c r="A73" s="646" t="s">
        <v>396</v>
      </c>
      <c r="B73" s="578" t="s">
        <v>484</v>
      </c>
      <c r="C73" s="312"/>
      <c r="D73" s="313" t="s">
        <v>485</v>
      </c>
      <c r="E73" s="312"/>
      <c r="F73" s="580" t="s">
        <v>486</v>
      </c>
      <c r="G73" s="581"/>
      <c r="H73" s="582" t="s">
        <v>487</v>
      </c>
      <c r="I73" s="627"/>
      <c r="J73" s="314"/>
      <c r="K73" s="315"/>
      <c r="L73" s="628"/>
      <c r="M73" s="629"/>
      <c r="N73" s="316"/>
      <c r="O73" s="317"/>
      <c r="P73" s="318"/>
      <c r="Q73" s="301"/>
      <c r="R73" s="301"/>
      <c r="S73" s="315"/>
      <c r="T73" s="315"/>
      <c r="U73" s="315"/>
      <c r="V73" s="315"/>
      <c r="W73" s="315"/>
      <c r="X73" s="315"/>
      <c r="Y73" s="315"/>
      <c r="Z73" s="315"/>
      <c r="AA73" s="319"/>
      <c r="AB73" s="320"/>
      <c r="AC73" s="315"/>
      <c r="AD73" s="315"/>
      <c r="AE73" s="315"/>
      <c r="AF73" s="315"/>
      <c r="AG73" s="321"/>
      <c r="AH73" s="322" t="str">
        <f t="shared" si="6"/>
        <v/>
      </c>
      <c r="AI73" s="323" t="str">
        <f>IF(ISNUMBER(AH73),100*AH73/(#REF!),"")</f>
        <v/>
      </c>
      <c r="AJ73" s="321"/>
      <c r="AK73" s="315"/>
      <c r="AL73" s="315"/>
      <c r="AM73" s="324"/>
      <c r="AN73" s="325"/>
      <c r="AO73" s="321"/>
      <c r="AP73" s="315"/>
      <c r="AQ73" s="321"/>
      <c r="AR73" s="321"/>
      <c r="AS73" s="339"/>
      <c r="AT73" s="318"/>
      <c r="AU73" s="325"/>
      <c r="AV73" s="325"/>
      <c r="AW73" s="325"/>
      <c r="AX73" s="315"/>
      <c r="AY73" s="321"/>
      <c r="AZ73" s="315"/>
      <c r="BA73" s="315"/>
      <c r="BB73" s="321"/>
      <c r="BC73" s="159"/>
      <c r="BD73" s="326"/>
      <c r="BE73" s="315"/>
      <c r="BF73" s="319"/>
      <c r="BG73" s="320"/>
      <c r="BH73" s="321"/>
      <c r="BI73" s="323"/>
      <c r="BJ73" s="262"/>
      <c r="BK73" s="342"/>
      <c r="BL73" s="320"/>
      <c r="BM73" s="321"/>
      <c r="BN73" s="321"/>
      <c r="BO73" s="321"/>
      <c r="BP73" s="321"/>
      <c r="BQ73" s="327"/>
      <c r="BR73" s="318"/>
      <c r="BS73" s="328"/>
      <c r="BT73" s="329"/>
      <c r="BU73" s="340"/>
      <c r="BV73" s="318"/>
      <c r="BW73" s="315"/>
      <c r="BX73" s="315"/>
      <c r="BY73" s="315"/>
      <c r="BZ73" s="315"/>
      <c r="CA73" s="315"/>
      <c r="CB73" s="315"/>
      <c r="CC73" s="330"/>
      <c r="CD73" s="318"/>
      <c r="CE73" s="315"/>
      <c r="CF73" s="315"/>
      <c r="CG73" s="319"/>
      <c r="CH73" s="318"/>
      <c r="CI73" s="319"/>
      <c r="CJ73" s="326"/>
      <c r="CK73" s="315"/>
      <c r="CL73" s="315"/>
      <c r="CM73" s="319"/>
      <c r="CN73" s="326"/>
      <c r="CO73" s="315"/>
      <c r="CP73" s="315"/>
      <c r="CQ73" s="315"/>
      <c r="CR73" s="319"/>
      <c r="CS73" s="318"/>
      <c r="CT73" s="331"/>
      <c r="CU73" s="188"/>
      <c r="CV73" s="332"/>
      <c r="CW73" s="333"/>
      <c r="CX73" s="334"/>
      <c r="CY73" s="318"/>
      <c r="CZ73" s="315"/>
      <c r="DA73" s="335"/>
      <c r="DB73" s="189"/>
      <c r="DC73" s="336"/>
      <c r="DD73" s="323"/>
      <c r="DE73" s="319"/>
      <c r="DF73" s="318"/>
      <c r="DG73" s="315"/>
      <c r="DH73" s="315"/>
      <c r="DI73" s="632"/>
      <c r="DJ73" s="633"/>
      <c r="DK73" s="318"/>
      <c r="DL73" s="315"/>
      <c r="DM73" s="315"/>
      <c r="DN73" s="315"/>
      <c r="DO73" s="315"/>
      <c r="DP73" s="315"/>
      <c r="DQ73" s="330"/>
      <c r="DR73" s="318"/>
      <c r="DS73" s="319"/>
      <c r="DT73" s="318"/>
      <c r="DU73" s="315"/>
      <c r="DV73" s="635"/>
      <c r="DW73" s="318"/>
      <c r="DX73" s="315"/>
      <c r="DY73" s="319"/>
      <c r="DZ73" s="318"/>
      <c r="EA73" s="315"/>
      <c r="EB73" s="315"/>
      <c r="EC73" s="315"/>
      <c r="ED73" s="330"/>
      <c r="EE73" s="318"/>
      <c r="EF73" s="319"/>
      <c r="EG73" s="326"/>
      <c r="EH73" s="315"/>
      <c r="EI73" s="635"/>
      <c r="EJ73" s="318"/>
      <c r="EK73" s="315"/>
      <c r="EL73" s="635"/>
      <c r="EM73" s="189"/>
      <c r="EN73" s="636"/>
      <c r="EO73" s="637"/>
      <c r="EP73" s="638"/>
      <c r="EQ73" s="315"/>
      <c r="ER73" s="315"/>
      <c r="ES73" s="319"/>
      <c r="ET73" s="639">
        <f t="shared" si="1"/>
        <v>1</v>
      </c>
      <c r="EU73" s="640"/>
      <c r="EV73" s="640">
        <f t="shared" si="2"/>
        <v>0</v>
      </c>
      <c r="EW73" s="640"/>
      <c r="EX73" s="641">
        <f t="shared" si="3"/>
        <v>0</v>
      </c>
    </row>
    <row r="74" spans="1:154" s="363" customFormat="1" ht="20.100000000000001" customHeight="1" x14ac:dyDescent="0.2">
      <c r="A74" s="646" t="s">
        <v>397</v>
      </c>
      <c r="B74" s="578" t="s">
        <v>484</v>
      </c>
      <c r="C74" s="312"/>
      <c r="D74" s="313" t="s">
        <v>485</v>
      </c>
      <c r="E74" s="312"/>
      <c r="F74" s="580" t="s">
        <v>486</v>
      </c>
      <c r="G74" s="581"/>
      <c r="H74" s="582" t="s">
        <v>487</v>
      </c>
      <c r="I74" s="627"/>
      <c r="J74" s="314"/>
      <c r="K74" s="315"/>
      <c r="L74" s="628"/>
      <c r="M74" s="629"/>
      <c r="N74" s="316"/>
      <c r="O74" s="317"/>
      <c r="P74" s="318"/>
      <c r="Q74" s="301"/>
      <c r="R74" s="301"/>
      <c r="S74" s="315"/>
      <c r="T74" s="315"/>
      <c r="U74" s="315"/>
      <c r="V74" s="315"/>
      <c r="W74" s="315"/>
      <c r="X74" s="315"/>
      <c r="Y74" s="315"/>
      <c r="Z74" s="315"/>
      <c r="AA74" s="319"/>
      <c r="AB74" s="320"/>
      <c r="AC74" s="315"/>
      <c r="AD74" s="315"/>
      <c r="AE74" s="315"/>
      <c r="AF74" s="315"/>
      <c r="AG74" s="321"/>
      <c r="AH74" s="322" t="str">
        <f t="shared" si="6"/>
        <v/>
      </c>
      <c r="AI74" s="323" t="str">
        <f>IF(ISNUMBER(AH74),100*AH74/(#REF!),"")</f>
        <v/>
      </c>
      <c r="AJ74" s="321"/>
      <c r="AK74" s="315"/>
      <c r="AL74" s="315"/>
      <c r="AM74" s="324"/>
      <c r="AN74" s="325"/>
      <c r="AO74" s="321"/>
      <c r="AP74" s="315"/>
      <c r="AQ74" s="321"/>
      <c r="AR74" s="321"/>
      <c r="AS74" s="339"/>
      <c r="AT74" s="318"/>
      <c r="AU74" s="325"/>
      <c r="AV74" s="325"/>
      <c r="AW74" s="325"/>
      <c r="AX74" s="315"/>
      <c r="AY74" s="321"/>
      <c r="AZ74" s="315"/>
      <c r="BA74" s="315"/>
      <c r="BB74" s="321"/>
      <c r="BC74" s="159"/>
      <c r="BD74" s="326"/>
      <c r="BE74" s="315"/>
      <c r="BF74" s="319"/>
      <c r="BG74" s="320"/>
      <c r="BH74" s="321"/>
      <c r="BI74" s="323"/>
      <c r="BJ74" s="262"/>
      <c r="BK74" s="342"/>
      <c r="BL74" s="320"/>
      <c r="BM74" s="321"/>
      <c r="BN74" s="321"/>
      <c r="BO74" s="321"/>
      <c r="BP74" s="321"/>
      <c r="BQ74" s="327"/>
      <c r="BR74" s="318"/>
      <c r="BS74" s="328"/>
      <c r="BT74" s="329"/>
      <c r="BU74" s="340"/>
      <c r="BV74" s="318"/>
      <c r="BW74" s="315"/>
      <c r="BX74" s="315"/>
      <c r="BY74" s="315"/>
      <c r="BZ74" s="315"/>
      <c r="CA74" s="315"/>
      <c r="CB74" s="315"/>
      <c r="CC74" s="330"/>
      <c r="CD74" s="318"/>
      <c r="CE74" s="315"/>
      <c r="CF74" s="315"/>
      <c r="CG74" s="319"/>
      <c r="CH74" s="318"/>
      <c r="CI74" s="319"/>
      <c r="CJ74" s="326"/>
      <c r="CK74" s="315"/>
      <c r="CL74" s="315"/>
      <c r="CM74" s="319"/>
      <c r="CN74" s="326"/>
      <c r="CO74" s="315"/>
      <c r="CP74" s="315"/>
      <c r="CQ74" s="315"/>
      <c r="CR74" s="319"/>
      <c r="CS74" s="318"/>
      <c r="CT74" s="331"/>
      <c r="CU74" s="188"/>
      <c r="CV74" s="332"/>
      <c r="CW74" s="333"/>
      <c r="CX74" s="334"/>
      <c r="CY74" s="318"/>
      <c r="CZ74" s="315"/>
      <c r="DA74" s="335"/>
      <c r="DB74" s="189"/>
      <c r="DC74" s="336"/>
      <c r="DD74" s="323"/>
      <c r="DE74" s="319"/>
      <c r="DF74" s="318"/>
      <c r="DG74" s="315"/>
      <c r="DH74" s="315"/>
      <c r="DI74" s="632"/>
      <c r="DJ74" s="633"/>
      <c r="DK74" s="318"/>
      <c r="DL74" s="315"/>
      <c r="DM74" s="315"/>
      <c r="DN74" s="315"/>
      <c r="DO74" s="315"/>
      <c r="DP74" s="315"/>
      <c r="DQ74" s="330"/>
      <c r="DR74" s="318"/>
      <c r="DS74" s="319"/>
      <c r="DT74" s="318"/>
      <c r="DU74" s="315"/>
      <c r="DV74" s="635"/>
      <c r="DW74" s="318"/>
      <c r="DX74" s="315"/>
      <c r="DY74" s="319"/>
      <c r="DZ74" s="318"/>
      <c r="EA74" s="315"/>
      <c r="EB74" s="315"/>
      <c r="EC74" s="315"/>
      <c r="ED74" s="330"/>
      <c r="EE74" s="318"/>
      <c r="EF74" s="319"/>
      <c r="EG74" s="326"/>
      <c r="EH74" s="315"/>
      <c r="EI74" s="635"/>
      <c r="EJ74" s="318"/>
      <c r="EK74" s="315"/>
      <c r="EL74" s="635"/>
      <c r="EM74" s="189"/>
      <c r="EN74" s="636"/>
      <c r="EO74" s="637"/>
      <c r="EP74" s="638"/>
      <c r="EQ74" s="315"/>
      <c r="ER74" s="315"/>
      <c r="ES74" s="319"/>
      <c r="ET74" s="639">
        <f t="shared" si="1"/>
        <v>1</v>
      </c>
      <c r="EU74" s="640"/>
      <c r="EV74" s="640">
        <f t="shared" si="2"/>
        <v>0</v>
      </c>
      <c r="EW74" s="640"/>
      <c r="EX74" s="641">
        <f t="shared" si="3"/>
        <v>0</v>
      </c>
    </row>
    <row r="75" spans="1:154" s="363" customFormat="1" ht="20.100000000000001" customHeight="1" x14ac:dyDescent="0.2">
      <c r="A75" s="646" t="s">
        <v>398</v>
      </c>
      <c r="B75" s="578" t="s">
        <v>484</v>
      </c>
      <c r="C75" s="312"/>
      <c r="D75" s="313" t="s">
        <v>485</v>
      </c>
      <c r="E75" s="312"/>
      <c r="F75" s="580" t="s">
        <v>486</v>
      </c>
      <c r="G75" s="581"/>
      <c r="H75" s="582" t="s">
        <v>487</v>
      </c>
      <c r="I75" s="627"/>
      <c r="J75" s="314"/>
      <c r="K75" s="315"/>
      <c r="L75" s="628"/>
      <c r="M75" s="629"/>
      <c r="N75" s="316"/>
      <c r="O75" s="317"/>
      <c r="P75" s="318"/>
      <c r="Q75" s="301"/>
      <c r="R75" s="301"/>
      <c r="S75" s="315"/>
      <c r="T75" s="315"/>
      <c r="U75" s="315"/>
      <c r="V75" s="315"/>
      <c r="W75" s="315"/>
      <c r="X75" s="315"/>
      <c r="Y75" s="315"/>
      <c r="Z75" s="315"/>
      <c r="AA75" s="319"/>
      <c r="AB75" s="320"/>
      <c r="AC75" s="315"/>
      <c r="AD75" s="315"/>
      <c r="AE75" s="315"/>
      <c r="AF75" s="315"/>
      <c r="AG75" s="321"/>
      <c r="AH75" s="322" t="str">
        <f t="shared" si="6"/>
        <v/>
      </c>
      <c r="AI75" s="323" t="str">
        <f>IF(ISNUMBER(AH75),100*AH75/(#REF!),"")</f>
        <v/>
      </c>
      <c r="AJ75" s="321"/>
      <c r="AK75" s="315"/>
      <c r="AL75" s="315"/>
      <c r="AM75" s="324"/>
      <c r="AN75" s="325"/>
      <c r="AO75" s="321"/>
      <c r="AP75" s="315"/>
      <c r="AQ75" s="321"/>
      <c r="AR75" s="321"/>
      <c r="AS75" s="339"/>
      <c r="AT75" s="318"/>
      <c r="AU75" s="325"/>
      <c r="AV75" s="325"/>
      <c r="AW75" s="325"/>
      <c r="AX75" s="315"/>
      <c r="AY75" s="321"/>
      <c r="AZ75" s="315"/>
      <c r="BA75" s="315"/>
      <c r="BB75" s="321"/>
      <c r="BC75" s="159"/>
      <c r="BD75" s="326"/>
      <c r="BE75" s="315"/>
      <c r="BF75" s="319"/>
      <c r="BG75" s="320"/>
      <c r="BH75" s="321"/>
      <c r="BI75" s="323"/>
      <c r="BJ75" s="262"/>
      <c r="BK75" s="342"/>
      <c r="BL75" s="320"/>
      <c r="BM75" s="321"/>
      <c r="BN75" s="321"/>
      <c r="BO75" s="321"/>
      <c r="BP75" s="321"/>
      <c r="BQ75" s="327"/>
      <c r="BR75" s="318"/>
      <c r="BS75" s="328"/>
      <c r="BT75" s="329"/>
      <c r="BU75" s="340"/>
      <c r="BV75" s="318"/>
      <c r="BW75" s="315"/>
      <c r="BX75" s="315"/>
      <c r="BY75" s="315"/>
      <c r="BZ75" s="315"/>
      <c r="CA75" s="315"/>
      <c r="CB75" s="315"/>
      <c r="CC75" s="330"/>
      <c r="CD75" s="318"/>
      <c r="CE75" s="315"/>
      <c r="CF75" s="315"/>
      <c r="CG75" s="319"/>
      <c r="CH75" s="318"/>
      <c r="CI75" s="319"/>
      <c r="CJ75" s="326"/>
      <c r="CK75" s="315"/>
      <c r="CL75" s="315"/>
      <c r="CM75" s="319"/>
      <c r="CN75" s="326"/>
      <c r="CO75" s="315"/>
      <c r="CP75" s="315"/>
      <c r="CQ75" s="315"/>
      <c r="CR75" s="319"/>
      <c r="CS75" s="318"/>
      <c r="CT75" s="331"/>
      <c r="CU75" s="188"/>
      <c r="CV75" s="332"/>
      <c r="CW75" s="333"/>
      <c r="CX75" s="334"/>
      <c r="CY75" s="318"/>
      <c r="CZ75" s="315"/>
      <c r="DA75" s="335"/>
      <c r="DB75" s="189"/>
      <c r="DC75" s="336"/>
      <c r="DD75" s="323"/>
      <c r="DE75" s="319"/>
      <c r="DF75" s="318"/>
      <c r="DG75" s="315"/>
      <c r="DH75" s="315"/>
      <c r="DI75" s="632"/>
      <c r="DJ75" s="633"/>
      <c r="DK75" s="318"/>
      <c r="DL75" s="315"/>
      <c r="DM75" s="315"/>
      <c r="DN75" s="315"/>
      <c r="DO75" s="315"/>
      <c r="DP75" s="315"/>
      <c r="DQ75" s="330"/>
      <c r="DR75" s="318"/>
      <c r="DS75" s="319"/>
      <c r="DT75" s="318"/>
      <c r="DU75" s="315"/>
      <c r="DV75" s="635"/>
      <c r="DW75" s="318"/>
      <c r="DX75" s="315"/>
      <c r="DY75" s="319"/>
      <c r="DZ75" s="318"/>
      <c r="EA75" s="315"/>
      <c r="EB75" s="315"/>
      <c r="EC75" s="315"/>
      <c r="ED75" s="330"/>
      <c r="EE75" s="318"/>
      <c r="EF75" s="319"/>
      <c r="EG75" s="326"/>
      <c r="EH75" s="315"/>
      <c r="EI75" s="635"/>
      <c r="EJ75" s="318"/>
      <c r="EK75" s="315"/>
      <c r="EL75" s="635"/>
      <c r="EM75" s="189"/>
      <c r="EN75" s="636"/>
      <c r="EO75" s="637"/>
      <c r="EP75" s="638"/>
      <c r="EQ75" s="315"/>
      <c r="ER75" s="315"/>
      <c r="ES75" s="319"/>
      <c r="ET75" s="639">
        <f t="shared" ref="ET75:ET100" si="7">IF(AS75=$L$4,1,0)</f>
        <v>1</v>
      </c>
      <c r="EU75" s="640"/>
      <c r="EV75" s="640">
        <f t="shared" ref="EV75:EV100" si="8">ET75*EU75</f>
        <v>0</v>
      </c>
      <c r="EW75" s="640"/>
      <c r="EX75" s="641">
        <f t="shared" ref="EX75:EX100" si="9">$EX$8*SUM(BL75:BQ75)</f>
        <v>0</v>
      </c>
    </row>
    <row r="76" spans="1:154" s="363" customFormat="1" ht="20.100000000000001" customHeight="1" x14ac:dyDescent="0.2">
      <c r="A76" s="646" t="s">
        <v>399</v>
      </c>
      <c r="B76" s="578" t="s">
        <v>484</v>
      </c>
      <c r="C76" s="312"/>
      <c r="D76" s="313" t="s">
        <v>485</v>
      </c>
      <c r="E76" s="312"/>
      <c r="F76" s="580" t="s">
        <v>486</v>
      </c>
      <c r="G76" s="581"/>
      <c r="H76" s="582" t="s">
        <v>487</v>
      </c>
      <c r="I76" s="627"/>
      <c r="J76" s="314"/>
      <c r="K76" s="315"/>
      <c r="L76" s="628"/>
      <c r="M76" s="629"/>
      <c r="N76" s="316"/>
      <c r="O76" s="317"/>
      <c r="P76" s="318"/>
      <c r="Q76" s="301"/>
      <c r="R76" s="301"/>
      <c r="S76" s="315"/>
      <c r="T76" s="315"/>
      <c r="U76" s="315"/>
      <c r="V76" s="315"/>
      <c r="W76" s="315"/>
      <c r="X76" s="315"/>
      <c r="Y76" s="315"/>
      <c r="Z76" s="315"/>
      <c r="AA76" s="319"/>
      <c r="AB76" s="320"/>
      <c r="AC76" s="315"/>
      <c r="AD76" s="315"/>
      <c r="AE76" s="315"/>
      <c r="AF76" s="315"/>
      <c r="AG76" s="321"/>
      <c r="AH76" s="322" t="str">
        <f t="shared" ref="AH76:AH100" si="10">IF(ISNUMBER(AG76),1296*S76*S76/AG76/AG76,"")</f>
        <v/>
      </c>
      <c r="AI76" s="323" t="str">
        <f>IF(ISNUMBER(AH76),100*AH76/(#REF!),"")</f>
        <v/>
      </c>
      <c r="AJ76" s="321"/>
      <c r="AK76" s="315"/>
      <c r="AL76" s="315"/>
      <c r="AM76" s="324"/>
      <c r="AN76" s="325"/>
      <c r="AO76" s="321"/>
      <c r="AP76" s="315"/>
      <c r="AQ76" s="321"/>
      <c r="AR76" s="321"/>
      <c r="AS76" s="339"/>
      <c r="AT76" s="318"/>
      <c r="AU76" s="325"/>
      <c r="AV76" s="325"/>
      <c r="AW76" s="325"/>
      <c r="AX76" s="315"/>
      <c r="AY76" s="321"/>
      <c r="AZ76" s="315"/>
      <c r="BA76" s="315"/>
      <c r="BB76" s="321"/>
      <c r="BC76" s="159"/>
      <c r="BD76" s="326"/>
      <c r="BE76" s="315"/>
      <c r="BF76" s="319"/>
      <c r="BG76" s="320"/>
      <c r="BH76" s="321"/>
      <c r="BI76" s="323"/>
      <c r="BJ76" s="262"/>
      <c r="BK76" s="342"/>
      <c r="BL76" s="320"/>
      <c r="BM76" s="321"/>
      <c r="BN76" s="321"/>
      <c r="BO76" s="321"/>
      <c r="BP76" s="321"/>
      <c r="BQ76" s="327"/>
      <c r="BR76" s="318"/>
      <c r="BS76" s="328"/>
      <c r="BT76" s="329"/>
      <c r="BU76" s="340"/>
      <c r="BV76" s="318"/>
      <c r="BW76" s="315"/>
      <c r="BX76" s="315"/>
      <c r="BY76" s="315"/>
      <c r="BZ76" s="315"/>
      <c r="CA76" s="315"/>
      <c r="CB76" s="315"/>
      <c r="CC76" s="330"/>
      <c r="CD76" s="318"/>
      <c r="CE76" s="315"/>
      <c r="CF76" s="315"/>
      <c r="CG76" s="319"/>
      <c r="CH76" s="318"/>
      <c r="CI76" s="319"/>
      <c r="CJ76" s="326"/>
      <c r="CK76" s="315"/>
      <c r="CL76" s="315"/>
      <c r="CM76" s="319"/>
      <c r="CN76" s="326"/>
      <c r="CO76" s="315"/>
      <c r="CP76" s="315"/>
      <c r="CQ76" s="315"/>
      <c r="CR76" s="319"/>
      <c r="CS76" s="318"/>
      <c r="CT76" s="331"/>
      <c r="CU76" s="188"/>
      <c r="CV76" s="332"/>
      <c r="CW76" s="333"/>
      <c r="CX76" s="334"/>
      <c r="CY76" s="318"/>
      <c r="CZ76" s="315"/>
      <c r="DA76" s="335"/>
      <c r="DB76" s="189"/>
      <c r="DC76" s="336"/>
      <c r="DD76" s="323"/>
      <c r="DE76" s="319"/>
      <c r="DF76" s="318"/>
      <c r="DG76" s="315"/>
      <c r="DH76" s="315"/>
      <c r="DI76" s="632"/>
      <c r="DJ76" s="633"/>
      <c r="DK76" s="318"/>
      <c r="DL76" s="315"/>
      <c r="DM76" s="315"/>
      <c r="DN76" s="315"/>
      <c r="DO76" s="315"/>
      <c r="DP76" s="315"/>
      <c r="DQ76" s="330"/>
      <c r="DR76" s="318"/>
      <c r="DS76" s="319"/>
      <c r="DT76" s="318"/>
      <c r="DU76" s="315"/>
      <c r="DV76" s="635"/>
      <c r="DW76" s="318"/>
      <c r="DX76" s="315"/>
      <c r="DY76" s="319"/>
      <c r="DZ76" s="318"/>
      <c r="EA76" s="315"/>
      <c r="EB76" s="315"/>
      <c r="EC76" s="315"/>
      <c r="ED76" s="330"/>
      <c r="EE76" s="318"/>
      <c r="EF76" s="319"/>
      <c r="EG76" s="326"/>
      <c r="EH76" s="315"/>
      <c r="EI76" s="635"/>
      <c r="EJ76" s="318"/>
      <c r="EK76" s="315"/>
      <c r="EL76" s="635"/>
      <c r="EM76" s="189"/>
      <c r="EN76" s="636"/>
      <c r="EO76" s="637"/>
      <c r="EP76" s="638"/>
      <c r="EQ76" s="315"/>
      <c r="ER76" s="315"/>
      <c r="ES76" s="319"/>
      <c r="ET76" s="639">
        <f t="shared" si="7"/>
        <v>1</v>
      </c>
      <c r="EU76" s="640"/>
      <c r="EV76" s="640">
        <f t="shared" si="8"/>
        <v>0</v>
      </c>
      <c r="EW76" s="640"/>
      <c r="EX76" s="641">
        <f t="shared" si="9"/>
        <v>0</v>
      </c>
    </row>
    <row r="77" spans="1:154" s="363" customFormat="1" ht="20.100000000000001" customHeight="1" x14ac:dyDescent="0.2">
      <c r="A77" s="646" t="s">
        <v>400</v>
      </c>
      <c r="B77" s="578" t="s">
        <v>484</v>
      </c>
      <c r="C77" s="312"/>
      <c r="D77" s="313" t="s">
        <v>485</v>
      </c>
      <c r="E77" s="312"/>
      <c r="F77" s="580" t="s">
        <v>486</v>
      </c>
      <c r="G77" s="581"/>
      <c r="H77" s="582" t="s">
        <v>487</v>
      </c>
      <c r="I77" s="627"/>
      <c r="J77" s="314"/>
      <c r="K77" s="315"/>
      <c r="L77" s="628"/>
      <c r="M77" s="629"/>
      <c r="N77" s="316"/>
      <c r="O77" s="317"/>
      <c r="P77" s="318"/>
      <c r="Q77" s="301"/>
      <c r="R77" s="301"/>
      <c r="S77" s="315"/>
      <c r="T77" s="315"/>
      <c r="U77" s="315"/>
      <c r="V77" s="315"/>
      <c r="W77" s="315"/>
      <c r="X77" s="315"/>
      <c r="Y77" s="315"/>
      <c r="Z77" s="315"/>
      <c r="AA77" s="319"/>
      <c r="AB77" s="320"/>
      <c r="AC77" s="315"/>
      <c r="AD77" s="315"/>
      <c r="AE77" s="315"/>
      <c r="AF77" s="315"/>
      <c r="AG77" s="321"/>
      <c r="AH77" s="322" t="str">
        <f t="shared" si="10"/>
        <v/>
      </c>
      <c r="AI77" s="323" t="str">
        <f>IF(ISNUMBER(AH77),100*AH77/(#REF!),"")</f>
        <v/>
      </c>
      <c r="AJ77" s="321"/>
      <c r="AK77" s="315"/>
      <c r="AL77" s="315"/>
      <c r="AM77" s="324"/>
      <c r="AN77" s="325"/>
      <c r="AO77" s="321"/>
      <c r="AP77" s="315"/>
      <c r="AQ77" s="321"/>
      <c r="AR77" s="321"/>
      <c r="AS77" s="339"/>
      <c r="AT77" s="318"/>
      <c r="AU77" s="325"/>
      <c r="AV77" s="325"/>
      <c r="AW77" s="325"/>
      <c r="AX77" s="315"/>
      <c r="AY77" s="321"/>
      <c r="AZ77" s="315"/>
      <c r="BA77" s="315"/>
      <c r="BB77" s="321"/>
      <c r="BC77" s="159"/>
      <c r="BD77" s="326"/>
      <c r="BE77" s="315"/>
      <c r="BF77" s="319"/>
      <c r="BG77" s="320"/>
      <c r="BH77" s="321"/>
      <c r="BI77" s="323"/>
      <c r="BJ77" s="262"/>
      <c r="BK77" s="342"/>
      <c r="BL77" s="320"/>
      <c r="BM77" s="321"/>
      <c r="BN77" s="321"/>
      <c r="BO77" s="321"/>
      <c r="BP77" s="321"/>
      <c r="BQ77" s="327"/>
      <c r="BR77" s="318"/>
      <c r="BS77" s="328"/>
      <c r="BT77" s="329"/>
      <c r="BU77" s="340"/>
      <c r="BV77" s="318"/>
      <c r="BW77" s="315"/>
      <c r="BX77" s="315"/>
      <c r="BY77" s="315"/>
      <c r="BZ77" s="315"/>
      <c r="CA77" s="315"/>
      <c r="CB77" s="315"/>
      <c r="CC77" s="330"/>
      <c r="CD77" s="318"/>
      <c r="CE77" s="315"/>
      <c r="CF77" s="315"/>
      <c r="CG77" s="319"/>
      <c r="CH77" s="318"/>
      <c r="CI77" s="319"/>
      <c r="CJ77" s="326"/>
      <c r="CK77" s="315"/>
      <c r="CL77" s="315"/>
      <c r="CM77" s="319"/>
      <c r="CN77" s="326"/>
      <c r="CO77" s="315"/>
      <c r="CP77" s="315"/>
      <c r="CQ77" s="315"/>
      <c r="CR77" s="319"/>
      <c r="CS77" s="318"/>
      <c r="CT77" s="331"/>
      <c r="CU77" s="188"/>
      <c r="CV77" s="332"/>
      <c r="CW77" s="333"/>
      <c r="CX77" s="334"/>
      <c r="CY77" s="318"/>
      <c r="CZ77" s="315"/>
      <c r="DA77" s="335"/>
      <c r="DB77" s="189"/>
      <c r="DC77" s="336"/>
      <c r="DD77" s="323"/>
      <c r="DE77" s="319"/>
      <c r="DF77" s="318"/>
      <c r="DG77" s="315"/>
      <c r="DH77" s="315"/>
      <c r="DI77" s="632"/>
      <c r="DJ77" s="633"/>
      <c r="DK77" s="318"/>
      <c r="DL77" s="315"/>
      <c r="DM77" s="315"/>
      <c r="DN77" s="315"/>
      <c r="DO77" s="315"/>
      <c r="DP77" s="315"/>
      <c r="DQ77" s="330"/>
      <c r="DR77" s="318"/>
      <c r="DS77" s="319"/>
      <c r="DT77" s="318"/>
      <c r="DU77" s="315"/>
      <c r="DV77" s="635"/>
      <c r="DW77" s="318"/>
      <c r="DX77" s="315"/>
      <c r="DY77" s="319"/>
      <c r="DZ77" s="318"/>
      <c r="EA77" s="315"/>
      <c r="EB77" s="315"/>
      <c r="EC77" s="315"/>
      <c r="ED77" s="330"/>
      <c r="EE77" s="318"/>
      <c r="EF77" s="319"/>
      <c r="EG77" s="326"/>
      <c r="EH77" s="315"/>
      <c r="EI77" s="635"/>
      <c r="EJ77" s="318"/>
      <c r="EK77" s="315"/>
      <c r="EL77" s="635"/>
      <c r="EM77" s="189"/>
      <c r="EN77" s="636"/>
      <c r="EO77" s="637"/>
      <c r="EP77" s="638"/>
      <c r="EQ77" s="315"/>
      <c r="ER77" s="315"/>
      <c r="ES77" s="319"/>
      <c r="ET77" s="639">
        <f t="shared" si="7"/>
        <v>1</v>
      </c>
      <c r="EU77" s="640"/>
      <c r="EV77" s="640">
        <f t="shared" si="8"/>
        <v>0</v>
      </c>
      <c r="EW77" s="640"/>
      <c r="EX77" s="641">
        <f t="shared" si="9"/>
        <v>0</v>
      </c>
    </row>
    <row r="78" spans="1:154" s="363" customFormat="1" ht="20.100000000000001" customHeight="1" x14ac:dyDescent="0.2">
      <c r="A78" s="646" t="s">
        <v>401</v>
      </c>
      <c r="B78" s="578" t="s">
        <v>484</v>
      </c>
      <c r="C78" s="312"/>
      <c r="D78" s="313" t="s">
        <v>485</v>
      </c>
      <c r="E78" s="312"/>
      <c r="F78" s="580" t="s">
        <v>486</v>
      </c>
      <c r="G78" s="581"/>
      <c r="H78" s="582" t="s">
        <v>487</v>
      </c>
      <c r="I78" s="627"/>
      <c r="J78" s="314"/>
      <c r="K78" s="315"/>
      <c r="L78" s="628"/>
      <c r="M78" s="629"/>
      <c r="N78" s="316"/>
      <c r="O78" s="317"/>
      <c r="P78" s="318"/>
      <c r="Q78" s="301"/>
      <c r="R78" s="301"/>
      <c r="S78" s="315"/>
      <c r="T78" s="315"/>
      <c r="U78" s="315"/>
      <c r="V78" s="315"/>
      <c r="W78" s="315"/>
      <c r="X78" s="315"/>
      <c r="Y78" s="315"/>
      <c r="Z78" s="315"/>
      <c r="AA78" s="319"/>
      <c r="AB78" s="320"/>
      <c r="AC78" s="315"/>
      <c r="AD78" s="315"/>
      <c r="AE78" s="315"/>
      <c r="AF78" s="315"/>
      <c r="AG78" s="321"/>
      <c r="AH78" s="322" t="str">
        <f t="shared" si="10"/>
        <v/>
      </c>
      <c r="AI78" s="323" t="str">
        <f>IF(ISNUMBER(AH78),100*AH78/(#REF!),"")</f>
        <v/>
      </c>
      <c r="AJ78" s="321"/>
      <c r="AK78" s="315"/>
      <c r="AL78" s="315"/>
      <c r="AM78" s="324"/>
      <c r="AN78" s="325"/>
      <c r="AO78" s="321"/>
      <c r="AP78" s="315"/>
      <c r="AQ78" s="321"/>
      <c r="AR78" s="321"/>
      <c r="AS78" s="339"/>
      <c r="AT78" s="318"/>
      <c r="AU78" s="325"/>
      <c r="AV78" s="325"/>
      <c r="AW78" s="325"/>
      <c r="AX78" s="315"/>
      <c r="AY78" s="321"/>
      <c r="AZ78" s="315"/>
      <c r="BA78" s="315"/>
      <c r="BB78" s="321"/>
      <c r="BC78" s="159"/>
      <c r="BD78" s="326"/>
      <c r="BE78" s="315"/>
      <c r="BF78" s="319"/>
      <c r="BG78" s="320"/>
      <c r="BH78" s="321"/>
      <c r="BI78" s="323"/>
      <c r="BJ78" s="262"/>
      <c r="BK78" s="342"/>
      <c r="BL78" s="320"/>
      <c r="BM78" s="321"/>
      <c r="BN78" s="321"/>
      <c r="BO78" s="321"/>
      <c r="BP78" s="321"/>
      <c r="BQ78" s="327"/>
      <c r="BR78" s="318"/>
      <c r="BS78" s="328"/>
      <c r="BT78" s="329"/>
      <c r="BU78" s="340"/>
      <c r="BV78" s="318"/>
      <c r="BW78" s="315"/>
      <c r="BX78" s="315"/>
      <c r="BY78" s="315"/>
      <c r="BZ78" s="315"/>
      <c r="CA78" s="315"/>
      <c r="CB78" s="315"/>
      <c r="CC78" s="330"/>
      <c r="CD78" s="318"/>
      <c r="CE78" s="315"/>
      <c r="CF78" s="315"/>
      <c r="CG78" s="319"/>
      <c r="CH78" s="318"/>
      <c r="CI78" s="319"/>
      <c r="CJ78" s="326"/>
      <c r="CK78" s="315"/>
      <c r="CL78" s="315"/>
      <c r="CM78" s="319"/>
      <c r="CN78" s="326"/>
      <c r="CO78" s="315"/>
      <c r="CP78" s="315"/>
      <c r="CQ78" s="315"/>
      <c r="CR78" s="319"/>
      <c r="CS78" s="318"/>
      <c r="CT78" s="331"/>
      <c r="CU78" s="188"/>
      <c r="CV78" s="332"/>
      <c r="CW78" s="333"/>
      <c r="CX78" s="334"/>
      <c r="CY78" s="318"/>
      <c r="CZ78" s="315"/>
      <c r="DA78" s="335"/>
      <c r="DB78" s="189"/>
      <c r="DC78" s="336"/>
      <c r="DD78" s="323"/>
      <c r="DE78" s="319"/>
      <c r="DF78" s="318"/>
      <c r="DG78" s="315"/>
      <c r="DH78" s="315"/>
      <c r="DI78" s="632"/>
      <c r="DJ78" s="633"/>
      <c r="DK78" s="318"/>
      <c r="DL78" s="315"/>
      <c r="DM78" s="315"/>
      <c r="DN78" s="315"/>
      <c r="DO78" s="315"/>
      <c r="DP78" s="315"/>
      <c r="DQ78" s="330"/>
      <c r="DR78" s="318"/>
      <c r="DS78" s="319"/>
      <c r="DT78" s="318"/>
      <c r="DU78" s="315"/>
      <c r="DV78" s="635"/>
      <c r="DW78" s="318"/>
      <c r="DX78" s="315"/>
      <c r="DY78" s="319"/>
      <c r="DZ78" s="318"/>
      <c r="EA78" s="315"/>
      <c r="EB78" s="315"/>
      <c r="EC78" s="315"/>
      <c r="ED78" s="330"/>
      <c r="EE78" s="318"/>
      <c r="EF78" s="319"/>
      <c r="EG78" s="326"/>
      <c r="EH78" s="315"/>
      <c r="EI78" s="635"/>
      <c r="EJ78" s="318"/>
      <c r="EK78" s="315"/>
      <c r="EL78" s="635"/>
      <c r="EM78" s="189"/>
      <c r="EN78" s="636"/>
      <c r="EO78" s="637"/>
      <c r="EP78" s="638"/>
      <c r="EQ78" s="315"/>
      <c r="ER78" s="315"/>
      <c r="ES78" s="319"/>
      <c r="ET78" s="639">
        <f t="shared" si="7"/>
        <v>1</v>
      </c>
      <c r="EU78" s="640"/>
      <c r="EV78" s="640">
        <f t="shared" si="8"/>
        <v>0</v>
      </c>
      <c r="EW78" s="640"/>
      <c r="EX78" s="641">
        <f t="shared" si="9"/>
        <v>0</v>
      </c>
    </row>
    <row r="79" spans="1:154" s="363" customFormat="1" ht="20.100000000000001" customHeight="1" x14ac:dyDescent="0.2">
      <c r="A79" s="646" t="s">
        <v>402</v>
      </c>
      <c r="B79" s="578" t="s">
        <v>484</v>
      </c>
      <c r="C79" s="312"/>
      <c r="D79" s="313" t="s">
        <v>485</v>
      </c>
      <c r="E79" s="312"/>
      <c r="F79" s="580" t="s">
        <v>486</v>
      </c>
      <c r="G79" s="581"/>
      <c r="H79" s="582" t="s">
        <v>487</v>
      </c>
      <c r="I79" s="627"/>
      <c r="J79" s="314"/>
      <c r="K79" s="315"/>
      <c r="L79" s="628"/>
      <c r="M79" s="629"/>
      <c r="N79" s="316"/>
      <c r="O79" s="317"/>
      <c r="P79" s="318"/>
      <c r="Q79" s="301"/>
      <c r="R79" s="301"/>
      <c r="S79" s="315"/>
      <c r="T79" s="315"/>
      <c r="U79" s="315"/>
      <c r="V79" s="315"/>
      <c r="W79" s="315"/>
      <c r="X79" s="315"/>
      <c r="Y79" s="315"/>
      <c r="Z79" s="315"/>
      <c r="AA79" s="319"/>
      <c r="AB79" s="320"/>
      <c r="AC79" s="315"/>
      <c r="AD79" s="315"/>
      <c r="AE79" s="315"/>
      <c r="AF79" s="315"/>
      <c r="AG79" s="321"/>
      <c r="AH79" s="322" t="str">
        <f t="shared" si="10"/>
        <v/>
      </c>
      <c r="AI79" s="323" t="str">
        <f>IF(ISNUMBER(AH79),100*AH79/(#REF!),"")</f>
        <v/>
      </c>
      <c r="AJ79" s="321"/>
      <c r="AK79" s="315"/>
      <c r="AL79" s="315"/>
      <c r="AM79" s="324"/>
      <c r="AN79" s="325"/>
      <c r="AO79" s="321"/>
      <c r="AP79" s="315"/>
      <c r="AQ79" s="321"/>
      <c r="AR79" s="321"/>
      <c r="AS79" s="339"/>
      <c r="AT79" s="318"/>
      <c r="AU79" s="325"/>
      <c r="AV79" s="325"/>
      <c r="AW79" s="325"/>
      <c r="AX79" s="315"/>
      <c r="AY79" s="321"/>
      <c r="AZ79" s="315"/>
      <c r="BA79" s="315"/>
      <c r="BB79" s="321"/>
      <c r="BC79" s="159"/>
      <c r="BD79" s="326"/>
      <c r="BE79" s="315"/>
      <c r="BF79" s="319"/>
      <c r="BG79" s="320"/>
      <c r="BH79" s="321"/>
      <c r="BI79" s="323"/>
      <c r="BJ79" s="262"/>
      <c r="BK79" s="342"/>
      <c r="BL79" s="320"/>
      <c r="BM79" s="321"/>
      <c r="BN79" s="321"/>
      <c r="BO79" s="321"/>
      <c r="BP79" s="321"/>
      <c r="BQ79" s="327"/>
      <c r="BR79" s="318"/>
      <c r="BS79" s="328"/>
      <c r="BT79" s="329"/>
      <c r="BU79" s="340"/>
      <c r="BV79" s="318"/>
      <c r="BW79" s="315"/>
      <c r="BX79" s="315"/>
      <c r="BY79" s="315"/>
      <c r="BZ79" s="315"/>
      <c r="CA79" s="315"/>
      <c r="CB79" s="315"/>
      <c r="CC79" s="330"/>
      <c r="CD79" s="318"/>
      <c r="CE79" s="315"/>
      <c r="CF79" s="315"/>
      <c r="CG79" s="319"/>
      <c r="CH79" s="318"/>
      <c r="CI79" s="319"/>
      <c r="CJ79" s="326"/>
      <c r="CK79" s="315"/>
      <c r="CL79" s="315"/>
      <c r="CM79" s="319"/>
      <c r="CN79" s="326"/>
      <c r="CO79" s="315"/>
      <c r="CP79" s="315"/>
      <c r="CQ79" s="315"/>
      <c r="CR79" s="319"/>
      <c r="CS79" s="318"/>
      <c r="CT79" s="331"/>
      <c r="CU79" s="188"/>
      <c r="CV79" s="332"/>
      <c r="CW79" s="333"/>
      <c r="CX79" s="334"/>
      <c r="CY79" s="318"/>
      <c r="CZ79" s="315"/>
      <c r="DA79" s="335"/>
      <c r="DB79" s="189"/>
      <c r="DC79" s="336"/>
      <c r="DD79" s="323"/>
      <c r="DE79" s="319"/>
      <c r="DF79" s="318"/>
      <c r="DG79" s="315"/>
      <c r="DH79" s="315"/>
      <c r="DI79" s="632"/>
      <c r="DJ79" s="633"/>
      <c r="DK79" s="318"/>
      <c r="DL79" s="315"/>
      <c r="DM79" s="315"/>
      <c r="DN79" s="315"/>
      <c r="DO79" s="315"/>
      <c r="DP79" s="315"/>
      <c r="DQ79" s="330"/>
      <c r="DR79" s="318"/>
      <c r="DS79" s="319"/>
      <c r="DT79" s="318"/>
      <c r="DU79" s="315"/>
      <c r="DV79" s="635"/>
      <c r="DW79" s="318"/>
      <c r="DX79" s="315"/>
      <c r="DY79" s="319"/>
      <c r="DZ79" s="318"/>
      <c r="EA79" s="315"/>
      <c r="EB79" s="315"/>
      <c r="EC79" s="315"/>
      <c r="ED79" s="330"/>
      <c r="EE79" s="318"/>
      <c r="EF79" s="319"/>
      <c r="EG79" s="326"/>
      <c r="EH79" s="315"/>
      <c r="EI79" s="635"/>
      <c r="EJ79" s="318"/>
      <c r="EK79" s="315"/>
      <c r="EL79" s="635"/>
      <c r="EM79" s="189"/>
      <c r="EN79" s="636"/>
      <c r="EO79" s="637"/>
      <c r="EP79" s="638"/>
      <c r="EQ79" s="315"/>
      <c r="ER79" s="315"/>
      <c r="ES79" s="319"/>
      <c r="ET79" s="639">
        <f t="shared" si="7"/>
        <v>1</v>
      </c>
      <c r="EU79" s="640"/>
      <c r="EV79" s="640">
        <f t="shared" si="8"/>
        <v>0</v>
      </c>
      <c r="EW79" s="640"/>
      <c r="EX79" s="641">
        <f t="shared" si="9"/>
        <v>0</v>
      </c>
    </row>
    <row r="80" spans="1:154" s="363" customFormat="1" ht="20.100000000000001" customHeight="1" x14ac:dyDescent="0.2">
      <c r="A80" s="646" t="s">
        <v>403</v>
      </c>
      <c r="B80" s="578" t="s">
        <v>484</v>
      </c>
      <c r="C80" s="312"/>
      <c r="D80" s="313" t="s">
        <v>485</v>
      </c>
      <c r="E80" s="312"/>
      <c r="F80" s="580" t="s">
        <v>486</v>
      </c>
      <c r="G80" s="581"/>
      <c r="H80" s="582" t="s">
        <v>487</v>
      </c>
      <c r="I80" s="627"/>
      <c r="J80" s="314"/>
      <c r="K80" s="315"/>
      <c r="L80" s="628"/>
      <c r="M80" s="629"/>
      <c r="N80" s="316"/>
      <c r="O80" s="317"/>
      <c r="P80" s="318"/>
      <c r="Q80" s="301"/>
      <c r="R80" s="301"/>
      <c r="S80" s="315"/>
      <c r="T80" s="315"/>
      <c r="U80" s="315"/>
      <c r="V80" s="315"/>
      <c r="W80" s="315"/>
      <c r="X80" s="315"/>
      <c r="Y80" s="315"/>
      <c r="Z80" s="315"/>
      <c r="AA80" s="319"/>
      <c r="AB80" s="320"/>
      <c r="AC80" s="315"/>
      <c r="AD80" s="315"/>
      <c r="AE80" s="315"/>
      <c r="AF80" s="315"/>
      <c r="AG80" s="321"/>
      <c r="AH80" s="322" t="str">
        <f t="shared" si="10"/>
        <v/>
      </c>
      <c r="AI80" s="323" t="str">
        <f>IF(ISNUMBER(AH80),100*AH80/(#REF!),"")</f>
        <v/>
      </c>
      <c r="AJ80" s="321"/>
      <c r="AK80" s="315"/>
      <c r="AL80" s="315"/>
      <c r="AM80" s="324"/>
      <c r="AN80" s="325"/>
      <c r="AO80" s="321"/>
      <c r="AP80" s="315"/>
      <c r="AQ80" s="321"/>
      <c r="AR80" s="321"/>
      <c r="AS80" s="339"/>
      <c r="AT80" s="318"/>
      <c r="AU80" s="325"/>
      <c r="AV80" s="325"/>
      <c r="AW80" s="325"/>
      <c r="AX80" s="315"/>
      <c r="AY80" s="321"/>
      <c r="AZ80" s="315"/>
      <c r="BA80" s="315"/>
      <c r="BB80" s="321"/>
      <c r="BC80" s="159"/>
      <c r="BD80" s="326"/>
      <c r="BE80" s="315"/>
      <c r="BF80" s="319"/>
      <c r="BG80" s="320"/>
      <c r="BH80" s="321"/>
      <c r="BI80" s="323"/>
      <c r="BJ80" s="262"/>
      <c r="BK80" s="342"/>
      <c r="BL80" s="320"/>
      <c r="BM80" s="321"/>
      <c r="BN80" s="321"/>
      <c r="BO80" s="321"/>
      <c r="BP80" s="321"/>
      <c r="BQ80" s="327"/>
      <c r="BR80" s="318"/>
      <c r="BS80" s="328"/>
      <c r="BT80" s="329"/>
      <c r="BU80" s="340"/>
      <c r="BV80" s="318"/>
      <c r="BW80" s="315"/>
      <c r="BX80" s="315"/>
      <c r="BY80" s="315"/>
      <c r="BZ80" s="315"/>
      <c r="CA80" s="315"/>
      <c r="CB80" s="315"/>
      <c r="CC80" s="330"/>
      <c r="CD80" s="318"/>
      <c r="CE80" s="315"/>
      <c r="CF80" s="315"/>
      <c r="CG80" s="319"/>
      <c r="CH80" s="318"/>
      <c r="CI80" s="319"/>
      <c r="CJ80" s="326"/>
      <c r="CK80" s="315"/>
      <c r="CL80" s="315"/>
      <c r="CM80" s="319"/>
      <c r="CN80" s="326"/>
      <c r="CO80" s="315"/>
      <c r="CP80" s="315"/>
      <c r="CQ80" s="315"/>
      <c r="CR80" s="319"/>
      <c r="CS80" s="318"/>
      <c r="CT80" s="331"/>
      <c r="CU80" s="188"/>
      <c r="CV80" s="332"/>
      <c r="CW80" s="333"/>
      <c r="CX80" s="334"/>
      <c r="CY80" s="318"/>
      <c r="CZ80" s="315"/>
      <c r="DA80" s="335"/>
      <c r="DB80" s="189"/>
      <c r="DC80" s="336"/>
      <c r="DD80" s="323"/>
      <c r="DE80" s="319"/>
      <c r="DF80" s="318"/>
      <c r="DG80" s="315"/>
      <c r="DH80" s="315"/>
      <c r="DI80" s="632"/>
      <c r="DJ80" s="633"/>
      <c r="DK80" s="318"/>
      <c r="DL80" s="315"/>
      <c r="DM80" s="315"/>
      <c r="DN80" s="315"/>
      <c r="DO80" s="315"/>
      <c r="DP80" s="315"/>
      <c r="DQ80" s="330"/>
      <c r="DR80" s="318"/>
      <c r="DS80" s="319"/>
      <c r="DT80" s="318"/>
      <c r="DU80" s="315"/>
      <c r="DV80" s="635"/>
      <c r="DW80" s="318"/>
      <c r="DX80" s="315"/>
      <c r="DY80" s="319"/>
      <c r="DZ80" s="318"/>
      <c r="EA80" s="315"/>
      <c r="EB80" s="315"/>
      <c r="EC80" s="315"/>
      <c r="ED80" s="330"/>
      <c r="EE80" s="318"/>
      <c r="EF80" s="319"/>
      <c r="EG80" s="326"/>
      <c r="EH80" s="315"/>
      <c r="EI80" s="635"/>
      <c r="EJ80" s="318"/>
      <c r="EK80" s="315"/>
      <c r="EL80" s="635"/>
      <c r="EM80" s="189"/>
      <c r="EN80" s="636"/>
      <c r="EO80" s="637"/>
      <c r="EP80" s="638"/>
      <c r="EQ80" s="315"/>
      <c r="ER80" s="315"/>
      <c r="ES80" s="319"/>
      <c r="ET80" s="639">
        <f t="shared" si="7"/>
        <v>1</v>
      </c>
      <c r="EU80" s="640"/>
      <c r="EV80" s="640">
        <f t="shared" si="8"/>
        <v>0</v>
      </c>
      <c r="EW80" s="640"/>
      <c r="EX80" s="641">
        <f t="shared" si="9"/>
        <v>0</v>
      </c>
    </row>
    <row r="81" spans="1:154" s="363" customFormat="1" ht="20.100000000000001" customHeight="1" x14ac:dyDescent="0.2">
      <c r="A81" s="646" t="s">
        <v>404</v>
      </c>
      <c r="B81" s="578" t="s">
        <v>484</v>
      </c>
      <c r="C81" s="312"/>
      <c r="D81" s="313" t="s">
        <v>485</v>
      </c>
      <c r="E81" s="312"/>
      <c r="F81" s="580" t="s">
        <v>486</v>
      </c>
      <c r="G81" s="581"/>
      <c r="H81" s="582" t="s">
        <v>487</v>
      </c>
      <c r="I81" s="627"/>
      <c r="J81" s="314"/>
      <c r="K81" s="315"/>
      <c r="L81" s="628"/>
      <c r="M81" s="629"/>
      <c r="N81" s="316"/>
      <c r="O81" s="317"/>
      <c r="P81" s="318"/>
      <c r="Q81" s="301"/>
      <c r="R81" s="301"/>
      <c r="S81" s="315"/>
      <c r="T81" s="315"/>
      <c r="U81" s="315"/>
      <c r="V81" s="315"/>
      <c r="W81" s="315"/>
      <c r="X81" s="315"/>
      <c r="Y81" s="315"/>
      <c r="Z81" s="315"/>
      <c r="AA81" s="319"/>
      <c r="AB81" s="320"/>
      <c r="AC81" s="315"/>
      <c r="AD81" s="315"/>
      <c r="AE81" s="315"/>
      <c r="AF81" s="315"/>
      <c r="AG81" s="321"/>
      <c r="AH81" s="322" t="str">
        <f t="shared" si="10"/>
        <v/>
      </c>
      <c r="AI81" s="323" t="str">
        <f>IF(ISNUMBER(AH81),100*AH81/(#REF!),"")</f>
        <v/>
      </c>
      <c r="AJ81" s="321"/>
      <c r="AK81" s="315"/>
      <c r="AL81" s="315"/>
      <c r="AM81" s="324"/>
      <c r="AN81" s="325"/>
      <c r="AO81" s="321"/>
      <c r="AP81" s="315"/>
      <c r="AQ81" s="321"/>
      <c r="AR81" s="321"/>
      <c r="AS81" s="339"/>
      <c r="AT81" s="318"/>
      <c r="AU81" s="325"/>
      <c r="AV81" s="325"/>
      <c r="AW81" s="325"/>
      <c r="AX81" s="315"/>
      <c r="AY81" s="321"/>
      <c r="AZ81" s="315"/>
      <c r="BA81" s="315"/>
      <c r="BB81" s="321"/>
      <c r="BC81" s="159"/>
      <c r="BD81" s="326"/>
      <c r="BE81" s="315"/>
      <c r="BF81" s="319"/>
      <c r="BG81" s="320"/>
      <c r="BH81" s="321"/>
      <c r="BI81" s="323"/>
      <c r="BJ81" s="262"/>
      <c r="BK81" s="342"/>
      <c r="BL81" s="320"/>
      <c r="BM81" s="321"/>
      <c r="BN81" s="321"/>
      <c r="BO81" s="321"/>
      <c r="BP81" s="321"/>
      <c r="BQ81" s="327"/>
      <c r="BR81" s="318"/>
      <c r="BS81" s="328"/>
      <c r="BT81" s="329"/>
      <c r="BU81" s="340"/>
      <c r="BV81" s="318"/>
      <c r="BW81" s="315"/>
      <c r="BX81" s="315"/>
      <c r="BY81" s="315"/>
      <c r="BZ81" s="315"/>
      <c r="CA81" s="315"/>
      <c r="CB81" s="315"/>
      <c r="CC81" s="330"/>
      <c r="CD81" s="318"/>
      <c r="CE81" s="315"/>
      <c r="CF81" s="315"/>
      <c r="CG81" s="319"/>
      <c r="CH81" s="318"/>
      <c r="CI81" s="319"/>
      <c r="CJ81" s="326"/>
      <c r="CK81" s="315"/>
      <c r="CL81" s="315"/>
      <c r="CM81" s="319"/>
      <c r="CN81" s="326"/>
      <c r="CO81" s="315"/>
      <c r="CP81" s="315"/>
      <c r="CQ81" s="315"/>
      <c r="CR81" s="319"/>
      <c r="CS81" s="318"/>
      <c r="CT81" s="331"/>
      <c r="CU81" s="188"/>
      <c r="CV81" s="332"/>
      <c r="CW81" s="333"/>
      <c r="CX81" s="334"/>
      <c r="CY81" s="318"/>
      <c r="CZ81" s="315"/>
      <c r="DA81" s="335"/>
      <c r="DB81" s="189"/>
      <c r="DC81" s="336"/>
      <c r="DD81" s="323"/>
      <c r="DE81" s="319"/>
      <c r="DF81" s="318"/>
      <c r="DG81" s="315"/>
      <c r="DH81" s="315"/>
      <c r="DI81" s="632"/>
      <c r="DJ81" s="633"/>
      <c r="DK81" s="318"/>
      <c r="DL81" s="315"/>
      <c r="DM81" s="315"/>
      <c r="DN81" s="315"/>
      <c r="DO81" s="315"/>
      <c r="DP81" s="315"/>
      <c r="DQ81" s="330"/>
      <c r="DR81" s="318"/>
      <c r="DS81" s="319"/>
      <c r="DT81" s="318"/>
      <c r="DU81" s="315"/>
      <c r="DV81" s="635"/>
      <c r="DW81" s="318"/>
      <c r="DX81" s="315"/>
      <c r="DY81" s="319"/>
      <c r="DZ81" s="318"/>
      <c r="EA81" s="315"/>
      <c r="EB81" s="315"/>
      <c r="EC81" s="315"/>
      <c r="ED81" s="330"/>
      <c r="EE81" s="318"/>
      <c r="EF81" s="319"/>
      <c r="EG81" s="326"/>
      <c r="EH81" s="315"/>
      <c r="EI81" s="635"/>
      <c r="EJ81" s="318"/>
      <c r="EK81" s="315"/>
      <c r="EL81" s="635"/>
      <c r="EM81" s="189"/>
      <c r="EN81" s="636"/>
      <c r="EO81" s="637"/>
      <c r="EP81" s="638"/>
      <c r="EQ81" s="315"/>
      <c r="ER81" s="315"/>
      <c r="ES81" s="319"/>
      <c r="ET81" s="639">
        <f t="shared" si="7"/>
        <v>1</v>
      </c>
      <c r="EU81" s="640"/>
      <c r="EV81" s="640">
        <f t="shared" si="8"/>
        <v>0</v>
      </c>
      <c r="EW81" s="640"/>
      <c r="EX81" s="641">
        <f t="shared" si="9"/>
        <v>0</v>
      </c>
    </row>
    <row r="82" spans="1:154" s="363" customFormat="1" ht="20.100000000000001" customHeight="1" x14ac:dyDescent="0.2">
      <c r="A82" s="646" t="s">
        <v>405</v>
      </c>
      <c r="B82" s="578" t="s">
        <v>484</v>
      </c>
      <c r="C82" s="312"/>
      <c r="D82" s="313" t="s">
        <v>485</v>
      </c>
      <c r="E82" s="312"/>
      <c r="F82" s="580" t="s">
        <v>486</v>
      </c>
      <c r="G82" s="581"/>
      <c r="H82" s="582" t="s">
        <v>487</v>
      </c>
      <c r="I82" s="627"/>
      <c r="J82" s="314"/>
      <c r="K82" s="315"/>
      <c r="L82" s="628"/>
      <c r="M82" s="629"/>
      <c r="N82" s="316"/>
      <c r="O82" s="317"/>
      <c r="P82" s="318"/>
      <c r="Q82" s="301"/>
      <c r="R82" s="301"/>
      <c r="S82" s="315"/>
      <c r="T82" s="315"/>
      <c r="U82" s="315"/>
      <c r="V82" s="315"/>
      <c r="W82" s="315"/>
      <c r="X82" s="315"/>
      <c r="Y82" s="315"/>
      <c r="Z82" s="315"/>
      <c r="AA82" s="319"/>
      <c r="AB82" s="320"/>
      <c r="AC82" s="315"/>
      <c r="AD82" s="315"/>
      <c r="AE82" s="315"/>
      <c r="AF82" s="315"/>
      <c r="AG82" s="321"/>
      <c r="AH82" s="322" t="str">
        <f t="shared" si="10"/>
        <v/>
      </c>
      <c r="AI82" s="323" t="str">
        <f>IF(ISNUMBER(AH82),100*AH82/(#REF!),"")</f>
        <v/>
      </c>
      <c r="AJ82" s="321"/>
      <c r="AK82" s="315"/>
      <c r="AL82" s="315"/>
      <c r="AM82" s="651"/>
      <c r="AN82" s="325"/>
      <c r="AO82" s="321"/>
      <c r="AP82" s="315"/>
      <c r="AQ82" s="321"/>
      <c r="AR82" s="321"/>
      <c r="AS82" s="339"/>
      <c r="AT82" s="318"/>
      <c r="AU82" s="325"/>
      <c r="AV82" s="325"/>
      <c r="AW82" s="325"/>
      <c r="AX82" s="315"/>
      <c r="AY82" s="321"/>
      <c r="AZ82" s="315"/>
      <c r="BA82" s="315"/>
      <c r="BB82" s="321"/>
      <c r="BC82" s="159"/>
      <c r="BD82" s="326"/>
      <c r="BE82" s="315"/>
      <c r="BF82" s="319"/>
      <c r="BG82" s="320"/>
      <c r="BH82" s="321"/>
      <c r="BI82" s="323"/>
      <c r="BJ82" s="262"/>
      <c r="BK82" s="342"/>
      <c r="BL82" s="320"/>
      <c r="BM82" s="321"/>
      <c r="BN82" s="321"/>
      <c r="BO82" s="321"/>
      <c r="BP82" s="321"/>
      <c r="BQ82" s="327"/>
      <c r="BR82" s="318"/>
      <c r="BS82" s="328"/>
      <c r="BT82" s="329"/>
      <c r="BU82" s="340"/>
      <c r="BV82" s="318"/>
      <c r="BW82" s="315"/>
      <c r="BX82" s="315"/>
      <c r="BY82" s="315"/>
      <c r="BZ82" s="315"/>
      <c r="CA82" s="315"/>
      <c r="CB82" s="315"/>
      <c r="CC82" s="330"/>
      <c r="CD82" s="318"/>
      <c r="CE82" s="315"/>
      <c r="CF82" s="315"/>
      <c r="CG82" s="319"/>
      <c r="CH82" s="318"/>
      <c r="CI82" s="319"/>
      <c r="CJ82" s="326"/>
      <c r="CK82" s="315"/>
      <c r="CL82" s="315"/>
      <c r="CM82" s="319"/>
      <c r="CN82" s="326"/>
      <c r="CO82" s="315"/>
      <c r="CP82" s="315"/>
      <c r="CQ82" s="315"/>
      <c r="CR82" s="319"/>
      <c r="CS82" s="318"/>
      <c r="CT82" s="331"/>
      <c r="CU82" s="188"/>
      <c r="CV82" s="332"/>
      <c r="CW82" s="333"/>
      <c r="CX82" s="334"/>
      <c r="CY82" s="318"/>
      <c r="CZ82" s="315"/>
      <c r="DA82" s="335"/>
      <c r="DB82" s="189"/>
      <c r="DC82" s="336"/>
      <c r="DD82" s="323"/>
      <c r="DE82" s="319"/>
      <c r="DF82" s="318"/>
      <c r="DG82" s="315"/>
      <c r="DH82" s="315"/>
      <c r="DI82" s="632"/>
      <c r="DJ82" s="633"/>
      <c r="DK82" s="318"/>
      <c r="DL82" s="315"/>
      <c r="DM82" s="315"/>
      <c r="DN82" s="315"/>
      <c r="DO82" s="315"/>
      <c r="DP82" s="315"/>
      <c r="DQ82" s="330"/>
      <c r="DR82" s="318"/>
      <c r="DS82" s="319"/>
      <c r="DT82" s="318"/>
      <c r="DU82" s="315"/>
      <c r="DV82" s="635"/>
      <c r="DW82" s="318"/>
      <c r="DX82" s="315"/>
      <c r="DY82" s="319"/>
      <c r="DZ82" s="318"/>
      <c r="EA82" s="315"/>
      <c r="EB82" s="315"/>
      <c r="EC82" s="315"/>
      <c r="ED82" s="330"/>
      <c r="EE82" s="318"/>
      <c r="EF82" s="319"/>
      <c r="EG82" s="326"/>
      <c r="EH82" s="315"/>
      <c r="EI82" s="635"/>
      <c r="EJ82" s="318"/>
      <c r="EK82" s="315"/>
      <c r="EL82" s="635"/>
      <c r="EM82" s="189"/>
      <c r="EN82" s="636"/>
      <c r="EO82" s="637"/>
      <c r="EP82" s="638"/>
      <c r="EQ82" s="315"/>
      <c r="ER82" s="315"/>
      <c r="ES82" s="319"/>
      <c r="ET82" s="639">
        <f t="shared" si="7"/>
        <v>1</v>
      </c>
      <c r="EU82" s="640"/>
      <c r="EV82" s="640">
        <f t="shared" si="8"/>
        <v>0</v>
      </c>
      <c r="EW82" s="640"/>
      <c r="EX82" s="641">
        <f t="shared" si="9"/>
        <v>0</v>
      </c>
    </row>
    <row r="83" spans="1:154" s="363" customFormat="1" ht="20.100000000000001" customHeight="1" x14ac:dyDescent="0.2">
      <c r="A83" s="646" t="s">
        <v>406</v>
      </c>
      <c r="B83" s="578" t="s">
        <v>484</v>
      </c>
      <c r="C83" s="312"/>
      <c r="D83" s="313" t="s">
        <v>485</v>
      </c>
      <c r="E83" s="312"/>
      <c r="F83" s="580" t="s">
        <v>486</v>
      </c>
      <c r="G83" s="581"/>
      <c r="H83" s="582" t="s">
        <v>487</v>
      </c>
      <c r="I83" s="627"/>
      <c r="J83" s="314"/>
      <c r="K83" s="315"/>
      <c r="L83" s="628"/>
      <c r="M83" s="629"/>
      <c r="N83" s="316"/>
      <c r="O83" s="317"/>
      <c r="P83" s="318"/>
      <c r="Q83" s="301"/>
      <c r="R83" s="301"/>
      <c r="S83" s="315"/>
      <c r="T83" s="315"/>
      <c r="U83" s="315"/>
      <c r="V83" s="315"/>
      <c r="W83" s="315"/>
      <c r="X83" s="315"/>
      <c r="Y83" s="315"/>
      <c r="Z83" s="315"/>
      <c r="AA83" s="319"/>
      <c r="AB83" s="320"/>
      <c r="AC83" s="315"/>
      <c r="AD83" s="315"/>
      <c r="AE83" s="315"/>
      <c r="AF83" s="315"/>
      <c r="AG83" s="321"/>
      <c r="AH83" s="322" t="str">
        <f t="shared" si="10"/>
        <v/>
      </c>
      <c r="AI83" s="323" t="str">
        <f>IF(ISNUMBER(AH83),100*AH83/(#REF!),"")</f>
        <v/>
      </c>
      <c r="AJ83" s="321"/>
      <c r="AK83" s="315"/>
      <c r="AL83" s="315"/>
      <c r="AM83" s="651"/>
      <c r="AN83" s="325"/>
      <c r="AO83" s="321"/>
      <c r="AP83" s="315"/>
      <c r="AQ83" s="321"/>
      <c r="AR83" s="321"/>
      <c r="AS83" s="339"/>
      <c r="AT83" s="318"/>
      <c r="AU83" s="325"/>
      <c r="AV83" s="325"/>
      <c r="AW83" s="325"/>
      <c r="AX83" s="315"/>
      <c r="AY83" s="321"/>
      <c r="AZ83" s="315"/>
      <c r="BA83" s="315"/>
      <c r="BB83" s="321"/>
      <c r="BC83" s="159"/>
      <c r="BD83" s="326"/>
      <c r="BE83" s="315"/>
      <c r="BF83" s="319"/>
      <c r="BG83" s="320"/>
      <c r="BH83" s="321"/>
      <c r="BI83" s="323"/>
      <c r="BJ83" s="262"/>
      <c r="BK83" s="342"/>
      <c r="BL83" s="320"/>
      <c r="BM83" s="321"/>
      <c r="BN83" s="321"/>
      <c r="BO83" s="321"/>
      <c r="BP83" s="321"/>
      <c r="BQ83" s="327"/>
      <c r="BR83" s="318"/>
      <c r="BS83" s="328"/>
      <c r="BT83" s="329"/>
      <c r="BU83" s="340"/>
      <c r="BV83" s="318"/>
      <c r="BW83" s="315"/>
      <c r="BX83" s="315"/>
      <c r="BY83" s="315"/>
      <c r="BZ83" s="315"/>
      <c r="CA83" s="315"/>
      <c r="CB83" s="315"/>
      <c r="CC83" s="330"/>
      <c r="CD83" s="318"/>
      <c r="CE83" s="315"/>
      <c r="CF83" s="315"/>
      <c r="CG83" s="319"/>
      <c r="CH83" s="318"/>
      <c r="CI83" s="319"/>
      <c r="CJ83" s="326"/>
      <c r="CK83" s="315"/>
      <c r="CL83" s="315"/>
      <c r="CM83" s="319"/>
      <c r="CN83" s="326"/>
      <c r="CO83" s="315"/>
      <c r="CP83" s="315"/>
      <c r="CQ83" s="315"/>
      <c r="CR83" s="319"/>
      <c r="CS83" s="318"/>
      <c r="CT83" s="331"/>
      <c r="CU83" s="188"/>
      <c r="CV83" s="332"/>
      <c r="CW83" s="333"/>
      <c r="CX83" s="334"/>
      <c r="CY83" s="318"/>
      <c r="CZ83" s="315"/>
      <c r="DA83" s="335"/>
      <c r="DB83" s="189"/>
      <c r="DC83" s="336"/>
      <c r="DD83" s="323"/>
      <c r="DE83" s="319"/>
      <c r="DF83" s="318"/>
      <c r="DG83" s="315"/>
      <c r="DH83" s="315"/>
      <c r="DI83" s="632"/>
      <c r="DJ83" s="633"/>
      <c r="DK83" s="318"/>
      <c r="DL83" s="315"/>
      <c r="DM83" s="315"/>
      <c r="DN83" s="315"/>
      <c r="DO83" s="315"/>
      <c r="DP83" s="315"/>
      <c r="DQ83" s="330"/>
      <c r="DR83" s="318"/>
      <c r="DS83" s="319"/>
      <c r="DT83" s="318"/>
      <c r="DU83" s="315"/>
      <c r="DV83" s="635"/>
      <c r="DW83" s="318"/>
      <c r="DX83" s="315"/>
      <c r="DY83" s="319"/>
      <c r="DZ83" s="318"/>
      <c r="EA83" s="315"/>
      <c r="EB83" s="315"/>
      <c r="EC83" s="315"/>
      <c r="ED83" s="330"/>
      <c r="EE83" s="318"/>
      <c r="EF83" s="319"/>
      <c r="EG83" s="326"/>
      <c r="EH83" s="315"/>
      <c r="EI83" s="635"/>
      <c r="EJ83" s="318"/>
      <c r="EK83" s="315"/>
      <c r="EL83" s="635"/>
      <c r="EM83" s="189"/>
      <c r="EN83" s="636"/>
      <c r="EO83" s="637"/>
      <c r="EP83" s="638"/>
      <c r="EQ83" s="315"/>
      <c r="ER83" s="315"/>
      <c r="ES83" s="319"/>
      <c r="ET83" s="639">
        <f t="shared" si="7"/>
        <v>1</v>
      </c>
      <c r="EU83" s="640"/>
      <c r="EV83" s="640">
        <f t="shared" si="8"/>
        <v>0</v>
      </c>
      <c r="EW83" s="640"/>
      <c r="EX83" s="641">
        <f t="shared" si="9"/>
        <v>0</v>
      </c>
    </row>
    <row r="84" spans="1:154" s="363" customFormat="1" ht="20.100000000000001" customHeight="1" x14ac:dyDescent="0.2">
      <c r="A84" s="646" t="s">
        <v>407</v>
      </c>
      <c r="B84" s="578" t="s">
        <v>484</v>
      </c>
      <c r="C84" s="312"/>
      <c r="D84" s="313" t="s">
        <v>485</v>
      </c>
      <c r="E84" s="312"/>
      <c r="F84" s="580" t="s">
        <v>486</v>
      </c>
      <c r="G84" s="581"/>
      <c r="H84" s="582" t="s">
        <v>487</v>
      </c>
      <c r="I84" s="627"/>
      <c r="J84" s="314"/>
      <c r="K84" s="315"/>
      <c r="L84" s="628"/>
      <c r="M84" s="629"/>
      <c r="N84" s="316"/>
      <c r="O84" s="317"/>
      <c r="P84" s="318"/>
      <c r="Q84" s="301"/>
      <c r="R84" s="301"/>
      <c r="S84" s="315"/>
      <c r="T84" s="315"/>
      <c r="U84" s="315"/>
      <c r="V84" s="315"/>
      <c r="W84" s="315"/>
      <c r="X84" s="315"/>
      <c r="Y84" s="315"/>
      <c r="Z84" s="315"/>
      <c r="AA84" s="319"/>
      <c r="AB84" s="320"/>
      <c r="AC84" s="315"/>
      <c r="AD84" s="315"/>
      <c r="AE84" s="315"/>
      <c r="AF84" s="315"/>
      <c r="AG84" s="321"/>
      <c r="AH84" s="322" t="str">
        <f t="shared" si="10"/>
        <v/>
      </c>
      <c r="AI84" s="323" t="str">
        <f>IF(ISNUMBER(AH84),100*AH84/(#REF!),"")</f>
        <v/>
      </c>
      <c r="AJ84" s="321"/>
      <c r="AK84" s="315"/>
      <c r="AL84" s="315"/>
      <c r="AM84" s="651"/>
      <c r="AN84" s="325"/>
      <c r="AO84" s="321"/>
      <c r="AP84" s="315"/>
      <c r="AQ84" s="321"/>
      <c r="AR84" s="321"/>
      <c r="AS84" s="339"/>
      <c r="AT84" s="318"/>
      <c r="AU84" s="325"/>
      <c r="AV84" s="325"/>
      <c r="AW84" s="325"/>
      <c r="AX84" s="315"/>
      <c r="AY84" s="321"/>
      <c r="AZ84" s="315"/>
      <c r="BA84" s="315"/>
      <c r="BB84" s="321"/>
      <c r="BC84" s="159"/>
      <c r="BD84" s="326"/>
      <c r="BE84" s="315"/>
      <c r="BF84" s="319"/>
      <c r="BG84" s="320"/>
      <c r="BH84" s="321"/>
      <c r="BI84" s="323"/>
      <c r="BJ84" s="262"/>
      <c r="BK84" s="342"/>
      <c r="BL84" s="320"/>
      <c r="BM84" s="321"/>
      <c r="BN84" s="321"/>
      <c r="BO84" s="321"/>
      <c r="BP84" s="321"/>
      <c r="BQ84" s="327"/>
      <c r="BR84" s="318"/>
      <c r="BS84" s="328"/>
      <c r="BT84" s="329"/>
      <c r="BU84" s="340"/>
      <c r="BV84" s="318"/>
      <c r="BW84" s="315"/>
      <c r="BX84" s="315"/>
      <c r="BY84" s="315"/>
      <c r="BZ84" s="315"/>
      <c r="CA84" s="315"/>
      <c r="CB84" s="315"/>
      <c r="CC84" s="330"/>
      <c r="CD84" s="318"/>
      <c r="CE84" s="315"/>
      <c r="CF84" s="315"/>
      <c r="CG84" s="319"/>
      <c r="CH84" s="318"/>
      <c r="CI84" s="319"/>
      <c r="CJ84" s="326"/>
      <c r="CK84" s="315"/>
      <c r="CL84" s="315"/>
      <c r="CM84" s="319"/>
      <c r="CN84" s="326"/>
      <c r="CO84" s="315"/>
      <c r="CP84" s="315"/>
      <c r="CQ84" s="315"/>
      <c r="CR84" s="319"/>
      <c r="CS84" s="318"/>
      <c r="CT84" s="331"/>
      <c r="CU84" s="188"/>
      <c r="CV84" s="332"/>
      <c r="CW84" s="333"/>
      <c r="CX84" s="334"/>
      <c r="CY84" s="318"/>
      <c r="CZ84" s="315"/>
      <c r="DA84" s="335"/>
      <c r="DB84" s="189"/>
      <c r="DC84" s="336"/>
      <c r="DD84" s="323"/>
      <c r="DE84" s="319"/>
      <c r="DF84" s="318"/>
      <c r="DG84" s="315"/>
      <c r="DH84" s="315"/>
      <c r="DI84" s="632"/>
      <c r="DJ84" s="633"/>
      <c r="DK84" s="318"/>
      <c r="DL84" s="315"/>
      <c r="DM84" s="315"/>
      <c r="DN84" s="315"/>
      <c r="DO84" s="315"/>
      <c r="DP84" s="315"/>
      <c r="DQ84" s="330"/>
      <c r="DR84" s="318"/>
      <c r="DS84" s="319"/>
      <c r="DT84" s="318"/>
      <c r="DU84" s="315"/>
      <c r="DV84" s="635"/>
      <c r="DW84" s="318"/>
      <c r="DX84" s="315"/>
      <c r="DY84" s="319"/>
      <c r="DZ84" s="318"/>
      <c r="EA84" s="315"/>
      <c r="EB84" s="315"/>
      <c r="EC84" s="315"/>
      <c r="ED84" s="330"/>
      <c r="EE84" s="318"/>
      <c r="EF84" s="319"/>
      <c r="EG84" s="326"/>
      <c r="EH84" s="315"/>
      <c r="EI84" s="635"/>
      <c r="EJ84" s="318"/>
      <c r="EK84" s="315"/>
      <c r="EL84" s="635"/>
      <c r="EM84" s="189"/>
      <c r="EN84" s="636"/>
      <c r="EO84" s="637"/>
      <c r="EP84" s="638"/>
      <c r="EQ84" s="315"/>
      <c r="ER84" s="315"/>
      <c r="ES84" s="319"/>
      <c r="ET84" s="639">
        <f t="shared" si="7"/>
        <v>1</v>
      </c>
      <c r="EU84" s="640"/>
      <c r="EV84" s="640">
        <f t="shared" si="8"/>
        <v>0</v>
      </c>
      <c r="EW84" s="640"/>
      <c r="EX84" s="641">
        <f t="shared" si="9"/>
        <v>0</v>
      </c>
    </row>
    <row r="85" spans="1:154" s="363" customFormat="1" ht="20.100000000000001" customHeight="1" x14ac:dyDescent="0.2">
      <c r="A85" s="646" t="s">
        <v>408</v>
      </c>
      <c r="B85" s="578" t="s">
        <v>484</v>
      </c>
      <c r="C85" s="312"/>
      <c r="D85" s="313" t="s">
        <v>485</v>
      </c>
      <c r="E85" s="312"/>
      <c r="F85" s="580" t="s">
        <v>486</v>
      </c>
      <c r="G85" s="581"/>
      <c r="H85" s="582" t="s">
        <v>487</v>
      </c>
      <c r="I85" s="627"/>
      <c r="J85" s="314"/>
      <c r="K85" s="315"/>
      <c r="L85" s="628"/>
      <c r="M85" s="629"/>
      <c r="N85" s="316"/>
      <c r="O85" s="317"/>
      <c r="P85" s="318"/>
      <c r="Q85" s="301"/>
      <c r="R85" s="301"/>
      <c r="S85" s="315"/>
      <c r="T85" s="315"/>
      <c r="U85" s="315"/>
      <c r="V85" s="315"/>
      <c r="W85" s="315"/>
      <c r="X85" s="315"/>
      <c r="Y85" s="315"/>
      <c r="Z85" s="315"/>
      <c r="AA85" s="319"/>
      <c r="AB85" s="320"/>
      <c r="AC85" s="315"/>
      <c r="AD85" s="315"/>
      <c r="AE85" s="315"/>
      <c r="AF85" s="315"/>
      <c r="AG85" s="321"/>
      <c r="AH85" s="322" t="str">
        <f t="shared" si="10"/>
        <v/>
      </c>
      <c r="AI85" s="323" t="str">
        <f>IF(ISNUMBER(AH85),100*AH85/(#REF!),"")</f>
        <v/>
      </c>
      <c r="AJ85" s="321"/>
      <c r="AK85" s="315"/>
      <c r="AL85" s="315"/>
      <c r="AM85" s="324"/>
      <c r="AN85" s="325"/>
      <c r="AO85" s="321"/>
      <c r="AP85" s="315"/>
      <c r="AQ85" s="321"/>
      <c r="AR85" s="321"/>
      <c r="AS85" s="339"/>
      <c r="AT85" s="318"/>
      <c r="AU85" s="325"/>
      <c r="AV85" s="325"/>
      <c r="AW85" s="325"/>
      <c r="AX85" s="315"/>
      <c r="AY85" s="321"/>
      <c r="AZ85" s="315"/>
      <c r="BA85" s="315"/>
      <c r="BB85" s="321"/>
      <c r="BC85" s="159"/>
      <c r="BD85" s="326"/>
      <c r="BE85" s="315"/>
      <c r="BF85" s="319"/>
      <c r="BG85" s="320"/>
      <c r="BH85" s="321"/>
      <c r="BI85" s="323"/>
      <c r="BJ85" s="262"/>
      <c r="BK85" s="342"/>
      <c r="BL85" s="320"/>
      <c r="BM85" s="321"/>
      <c r="BN85" s="321"/>
      <c r="BO85" s="321"/>
      <c r="BP85" s="321"/>
      <c r="BQ85" s="327"/>
      <c r="BR85" s="318"/>
      <c r="BS85" s="328"/>
      <c r="BT85" s="329"/>
      <c r="BU85" s="340"/>
      <c r="BV85" s="318"/>
      <c r="BW85" s="315"/>
      <c r="BX85" s="315"/>
      <c r="BY85" s="315"/>
      <c r="BZ85" s="315"/>
      <c r="CA85" s="315"/>
      <c r="CB85" s="315"/>
      <c r="CC85" s="330"/>
      <c r="CD85" s="318"/>
      <c r="CE85" s="315"/>
      <c r="CF85" s="315"/>
      <c r="CG85" s="319"/>
      <c r="CH85" s="318"/>
      <c r="CI85" s="319"/>
      <c r="CJ85" s="326"/>
      <c r="CK85" s="315"/>
      <c r="CL85" s="315"/>
      <c r="CM85" s="319"/>
      <c r="CN85" s="326"/>
      <c r="CO85" s="315"/>
      <c r="CP85" s="315"/>
      <c r="CQ85" s="315"/>
      <c r="CR85" s="319"/>
      <c r="CS85" s="318"/>
      <c r="CT85" s="331"/>
      <c r="CU85" s="188"/>
      <c r="CV85" s="332"/>
      <c r="CW85" s="333"/>
      <c r="CX85" s="334"/>
      <c r="CY85" s="318"/>
      <c r="CZ85" s="315"/>
      <c r="DA85" s="335"/>
      <c r="DB85" s="189"/>
      <c r="DC85" s="336"/>
      <c r="DD85" s="323"/>
      <c r="DE85" s="319"/>
      <c r="DF85" s="318"/>
      <c r="DG85" s="315"/>
      <c r="DH85" s="315"/>
      <c r="DI85" s="632"/>
      <c r="DJ85" s="633"/>
      <c r="DK85" s="318"/>
      <c r="DL85" s="315"/>
      <c r="DM85" s="315"/>
      <c r="DN85" s="315"/>
      <c r="DO85" s="315"/>
      <c r="DP85" s="315"/>
      <c r="DQ85" s="330"/>
      <c r="DR85" s="318"/>
      <c r="DS85" s="319"/>
      <c r="DT85" s="318"/>
      <c r="DU85" s="315"/>
      <c r="DV85" s="635"/>
      <c r="DW85" s="318"/>
      <c r="DX85" s="315"/>
      <c r="DY85" s="319"/>
      <c r="DZ85" s="318"/>
      <c r="EA85" s="315"/>
      <c r="EB85" s="315"/>
      <c r="EC85" s="315"/>
      <c r="ED85" s="330"/>
      <c r="EE85" s="318"/>
      <c r="EF85" s="319"/>
      <c r="EG85" s="326"/>
      <c r="EH85" s="315"/>
      <c r="EI85" s="635"/>
      <c r="EJ85" s="318"/>
      <c r="EK85" s="315"/>
      <c r="EL85" s="635"/>
      <c r="EM85" s="189"/>
      <c r="EN85" s="636"/>
      <c r="EO85" s="637"/>
      <c r="EP85" s="638"/>
      <c r="EQ85" s="315"/>
      <c r="ER85" s="315"/>
      <c r="ES85" s="319"/>
      <c r="ET85" s="639">
        <f t="shared" si="7"/>
        <v>1</v>
      </c>
      <c r="EU85" s="640"/>
      <c r="EV85" s="640">
        <f t="shared" si="8"/>
        <v>0</v>
      </c>
      <c r="EW85" s="640"/>
      <c r="EX85" s="641">
        <f t="shared" si="9"/>
        <v>0</v>
      </c>
    </row>
    <row r="86" spans="1:154" s="363" customFormat="1" ht="20.100000000000001" customHeight="1" x14ac:dyDescent="0.2">
      <c r="A86" s="646" t="s">
        <v>409</v>
      </c>
      <c r="B86" s="578" t="s">
        <v>484</v>
      </c>
      <c r="C86" s="312"/>
      <c r="D86" s="313" t="s">
        <v>485</v>
      </c>
      <c r="E86" s="312"/>
      <c r="F86" s="580" t="s">
        <v>486</v>
      </c>
      <c r="G86" s="581"/>
      <c r="H86" s="582" t="s">
        <v>487</v>
      </c>
      <c r="I86" s="627"/>
      <c r="J86" s="314"/>
      <c r="K86" s="315"/>
      <c r="L86" s="628"/>
      <c r="M86" s="629"/>
      <c r="N86" s="316"/>
      <c r="O86" s="317"/>
      <c r="P86" s="318"/>
      <c r="Q86" s="301"/>
      <c r="R86" s="301"/>
      <c r="S86" s="315"/>
      <c r="T86" s="315"/>
      <c r="U86" s="315"/>
      <c r="V86" s="315"/>
      <c r="W86" s="315"/>
      <c r="X86" s="315"/>
      <c r="Y86" s="315"/>
      <c r="Z86" s="315"/>
      <c r="AA86" s="319"/>
      <c r="AB86" s="320"/>
      <c r="AC86" s="315"/>
      <c r="AD86" s="315"/>
      <c r="AE86" s="315"/>
      <c r="AF86" s="315"/>
      <c r="AG86" s="321"/>
      <c r="AH86" s="322" t="str">
        <f t="shared" si="10"/>
        <v/>
      </c>
      <c r="AI86" s="323" t="str">
        <f>IF(ISNUMBER(AH86),100*AH86/(#REF!),"")</f>
        <v/>
      </c>
      <c r="AJ86" s="321"/>
      <c r="AK86" s="315"/>
      <c r="AL86" s="315"/>
      <c r="AM86" s="324"/>
      <c r="AN86" s="325"/>
      <c r="AO86" s="321"/>
      <c r="AP86" s="315"/>
      <c r="AQ86" s="321"/>
      <c r="AR86" s="321"/>
      <c r="AS86" s="339"/>
      <c r="AT86" s="318"/>
      <c r="AU86" s="325"/>
      <c r="AV86" s="325"/>
      <c r="AW86" s="325"/>
      <c r="AX86" s="315"/>
      <c r="AY86" s="321"/>
      <c r="AZ86" s="315"/>
      <c r="BA86" s="315"/>
      <c r="BB86" s="321"/>
      <c r="BC86" s="159"/>
      <c r="BD86" s="326"/>
      <c r="BE86" s="315"/>
      <c r="BF86" s="319"/>
      <c r="BG86" s="320"/>
      <c r="BH86" s="321"/>
      <c r="BI86" s="323"/>
      <c r="BJ86" s="262"/>
      <c r="BK86" s="342"/>
      <c r="BL86" s="320"/>
      <c r="BM86" s="321"/>
      <c r="BN86" s="321"/>
      <c r="BO86" s="321"/>
      <c r="BP86" s="321"/>
      <c r="BQ86" s="327"/>
      <c r="BR86" s="318"/>
      <c r="BS86" s="328"/>
      <c r="BT86" s="329"/>
      <c r="BU86" s="340"/>
      <c r="BV86" s="318"/>
      <c r="BW86" s="315"/>
      <c r="BX86" s="315"/>
      <c r="BY86" s="315"/>
      <c r="BZ86" s="315"/>
      <c r="CA86" s="315"/>
      <c r="CB86" s="315"/>
      <c r="CC86" s="330"/>
      <c r="CD86" s="318"/>
      <c r="CE86" s="315"/>
      <c r="CF86" s="315"/>
      <c r="CG86" s="319"/>
      <c r="CH86" s="318"/>
      <c r="CI86" s="319"/>
      <c r="CJ86" s="326"/>
      <c r="CK86" s="315"/>
      <c r="CL86" s="315"/>
      <c r="CM86" s="319"/>
      <c r="CN86" s="326"/>
      <c r="CO86" s="315"/>
      <c r="CP86" s="315"/>
      <c r="CQ86" s="315"/>
      <c r="CR86" s="319"/>
      <c r="CS86" s="318"/>
      <c r="CT86" s="331"/>
      <c r="CU86" s="188"/>
      <c r="CV86" s="332"/>
      <c r="CW86" s="333"/>
      <c r="CX86" s="334"/>
      <c r="CY86" s="318"/>
      <c r="CZ86" s="315"/>
      <c r="DA86" s="335"/>
      <c r="DB86" s="189"/>
      <c r="DC86" s="336"/>
      <c r="DD86" s="323"/>
      <c r="DE86" s="319"/>
      <c r="DF86" s="318"/>
      <c r="DG86" s="315"/>
      <c r="DH86" s="315"/>
      <c r="DI86" s="632"/>
      <c r="DJ86" s="633"/>
      <c r="DK86" s="318"/>
      <c r="DL86" s="315"/>
      <c r="DM86" s="315"/>
      <c r="DN86" s="315"/>
      <c r="DO86" s="315"/>
      <c r="DP86" s="315"/>
      <c r="DQ86" s="330"/>
      <c r="DR86" s="318"/>
      <c r="DS86" s="319"/>
      <c r="DT86" s="318"/>
      <c r="DU86" s="315"/>
      <c r="DV86" s="635"/>
      <c r="DW86" s="318"/>
      <c r="DX86" s="315"/>
      <c r="DY86" s="319"/>
      <c r="DZ86" s="318"/>
      <c r="EA86" s="315"/>
      <c r="EB86" s="315"/>
      <c r="EC86" s="315"/>
      <c r="ED86" s="330"/>
      <c r="EE86" s="318"/>
      <c r="EF86" s="319"/>
      <c r="EG86" s="326"/>
      <c r="EH86" s="315"/>
      <c r="EI86" s="635"/>
      <c r="EJ86" s="318"/>
      <c r="EK86" s="315"/>
      <c r="EL86" s="635"/>
      <c r="EM86" s="189"/>
      <c r="EN86" s="636"/>
      <c r="EO86" s="637"/>
      <c r="EP86" s="638"/>
      <c r="EQ86" s="315"/>
      <c r="ER86" s="315"/>
      <c r="ES86" s="319"/>
      <c r="ET86" s="639">
        <f t="shared" si="7"/>
        <v>1</v>
      </c>
      <c r="EU86" s="640"/>
      <c r="EV86" s="640">
        <f t="shared" si="8"/>
        <v>0</v>
      </c>
      <c r="EW86" s="640"/>
      <c r="EX86" s="641">
        <f t="shared" si="9"/>
        <v>0</v>
      </c>
    </row>
    <row r="87" spans="1:154" s="363" customFormat="1" ht="20.100000000000001" customHeight="1" x14ac:dyDescent="0.2">
      <c r="A87" s="646" t="s">
        <v>410</v>
      </c>
      <c r="B87" s="578" t="s">
        <v>484</v>
      </c>
      <c r="C87" s="312"/>
      <c r="D87" s="313" t="s">
        <v>485</v>
      </c>
      <c r="E87" s="312"/>
      <c r="F87" s="580" t="s">
        <v>486</v>
      </c>
      <c r="G87" s="581"/>
      <c r="H87" s="582" t="s">
        <v>487</v>
      </c>
      <c r="I87" s="627"/>
      <c r="J87" s="314"/>
      <c r="K87" s="315"/>
      <c r="L87" s="628"/>
      <c r="M87" s="629"/>
      <c r="N87" s="316"/>
      <c r="O87" s="317"/>
      <c r="P87" s="318"/>
      <c r="Q87" s="301"/>
      <c r="R87" s="301"/>
      <c r="S87" s="315"/>
      <c r="T87" s="315"/>
      <c r="U87" s="315"/>
      <c r="V87" s="315"/>
      <c r="W87" s="315"/>
      <c r="X87" s="315"/>
      <c r="Y87" s="315"/>
      <c r="Z87" s="315"/>
      <c r="AA87" s="319"/>
      <c r="AB87" s="320"/>
      <c r="AC87" s="315"/>
      <c r="AD87" s="315"/>
      <c r="AE87" s="315"/>
      <c r="AF87" s="315"/>
      <c r="AG87" s="321"/>
      <c r="AH87" s="322" t="str">
        <f t="shared" si="10"/>
        <v/>
      </c>
      <c r="AI87" s="323" t="str">
        <f>IF(ISNUMBER(AH87),100*AH87/(#REF!),"")</f>
        <v/>
      </c>
      <c r="AJ87" s="321"/>
      <c r="AK87" s="315"/>
      <c r="AL87" s="315"/>
      <c r="AM87" s="651"/>
      <c r="AN87" s="325"/>
      <c r="AO87" s="321"/>
      <c r="AP87" s="315"/>
      <c r="AQ87" s="321"/>
      <c r="AR87" s="321"/>
      <c r="AS87" s="339"/>
      <c r="AT87" s="318"/>
      <c r="AU87" s="325"/>
      <c r="AV87" s="325"/>
      <c r="AW87" s="325"/>
      <c r="AX87" s="315"/>
      <c r="AY87" s="321"/>
      <c r="AZ87" s="315"/>
      <c r="BA87" s="315"/>
      <c r="BB87" s="321"/>
      <c r="BC87" s="159"/>
      <c r="BD87" s="326"/>
      <c r="BE87" s="315"/>
      <c r="BF87" s="319"/>
      <c r="BG87" s="320"/>
      <c r="BH87" s="321"/>
      <c r="BI87" s="323"/>
      <c r="BJ87" s="262"/>
      <c r="BK87" s="342"/>
      <c r="BL87" s="320"/>
      <c r="BM87" s="321"/>
      <c r="BN87" s="321"/>
      <c r="BO87" s="321"/>
      <c r="BP87" s="321"/>
      <c r="BQ87" s="327"/>
      <c r="BR87" s="318"/>
      <c r="BS87" s="328"/>
      <c r="BT87" s="329"/>
      <c r="BU87" s="340"/>
      <c r="BV87" s="318"/>
      <c r="BW87" s="315"/>
      <c r="BX87" s="315"/>
      <c r="BY87" s="315"/>
      <c r="BZ87" s="315"/>
      <c r="CA87" s="315"/>
      <c r="CB87" s="315"/>
      <c r="CC87" s="330"/>
      <c r="CD87" s="318"/>
      <c r="CE87" s="315"/>
      <c r="CF87" s="315"/>
      <c r="CG87" s="319"/>
      <c r="CH87" s="318"/>
      <c r="CI87" s="319"/>
      <c r="CJ87" s="326"/>
      <c r="CK87" s="315"/>
      <c r="CL87" s="315"/>
      <c r="CM87" s="319"/>
      <c r="CN87" s="326"/>
      <c r="CO87" s="315"/>
      <c r="CP87" s="315"/>
      <c r="CQ87" s="315"/>
      <c r="CR87" s="319"/>
      <c r="CS87" s="318"/>
      <c r="CT87" s="331"/>
      <c r="CU87" s="188"/>
      <c r="CV87" s="332"/>
      <c r="CW87" s="333"/>
      <c r="CX87" s="334"/>
      <c r="CY87" s="318"/>
      <c r="CZ87" s="315"/>
      <c r="DA87" s="335"/>
      <c r="DB87" s="189"/>
      <c r="DC87" s="336"/>
      <c r="DD87" s="323"/>
      <c r="DE87" s="319"/>
      <c r="DF87" s="318"/>
      <c r="DG87" s="315"/>
      <c r="DH87" s="315"/>
      <c r="DI87" s="632"/>
      <c r="DJ87" s="633"/>
      <c r="DK87" s="652"/>
      <c r="DL87" s="315"/>
      <c r="DM87" s="315"/>
      <c r="DN87" s="315"/>
      <c r="DO87" s="315"/>
      <c r="DP87" s="315"/>
      <c r="DQ87" s="330"/>
      <c r="DR87" s="318"/>
      <c r="DS87" s="319"/>
      <c r="DT87" s="318"/>
      <c r="DU87" s="315"/>
      <c r="DV87" s="635"/>
      <c r="DW87" s="318"/>
      <c r="DX87" s="315"/>
      <c r="DY87" s="319"/>
      <c r="DZ87" s="318"/>
      <c r="EA87" s="315"/>
      <c r="EB87" s="315"/>
      <c r="EC87" s="315"/>
      <c r="ED87" s="330"/>
      <c r="EE87" s="318"/>
      <c r="EF87" s="319"/>
      <c r="EG87" s="326"/>
      <c r="EH87" s="315"/>
      <c r="EI87" s="635"/>
      <c r="EJ87" s="318"/>
      <c r="EK87" s="315"/>
      <c r="EL87" s="635"/>
      <c r="EM87" s="189"/>
      <c r="EN87" s="636"/>
      <c r="EO87" s="637"/>
      <c r="EP87" s="638"/>
      <c r="EQ87" s="315"/>
      <c r="ER87" s="315"/>
      <c r="ES87" s="319"/>
      <c r="ET87" s="639">
        <f t="shared" si="7"/>
        <v>1</v>
      </c>
      <c r="EU87" s="640"/>
      <c r="EV87" s="640">
        <f t="shared" si="8"/>
        <v>0</v>
      </c>
      <c r="EW87" s="640"/>
      <c r="EX87" s="641">
        <f t="shared" si="9"/>
        <v>0</v>
      </c>
    </row>
    <row r="88" spans="1:154" s="363" customFormat="1" ht="20.100000000000001" customHeight="1" x14ac:dyDescent="0.2">
      <c r="A88" s="646" t="s">
        <v>411</v>
      </c>
      <c r="B88" s="578" t="s">
        <v>484</v>
      </c>
      <c r="C88" s="312"/>
      <c r="D88" s="313" t="s">
        <v>485</v>
      </c>
      <c r="E88" s="312"/>
      <c r="F88" s="580" t="s">
        <v>486</v>
      </c>
      <c r="G88" s="581"/>
      <c r="H88" s="582" t="s">
        <v>487</v>
      </c>
      <c r="I88" s="627"/>
      <c r="J88" s="314"/>
      <c r="K88" s="315"/>
      <c r="L88" s="628"/>
      <c r="M88" s="629"/>
      <c r="N88" s="316"/>
      <c r="O88" s="317"/>
      <c r="P88" s="318"/>
      <c r="Q88" s="301"/>
      <c r="R88" s="301"/>
      <c r="S88" s="315"/>
      <c r="T88" s="315"/>
      <c r="U88" s="315"/>
      <c r="V88" s="315"/>
      <c r="W88" s="315"/>
      <c r="X88" s="315"/>
      <c r="Y88" s="315"/>
      <c r="Z88" s="315"/>
      <c r="AA88" s="319"/>
      <c r="AB88" s="320"/>
      <c r="AC88" s="315"/>
      <c r="AD88" s="315"/>
      <c r="AE88" s="315"/>
      <c r="AF88" s="315"/>
      <c r="AG88" s="321"/>
      <c r="AH88" s="322" t="str">
        <f t="shared" si="10"/>
        <v/>
      </c>
      <c r="AI88" s="323" t="str">
        <f>IF(ISNUMBER(AH88),100*AH88/(#REF!),"")</f>
        <v/>
      </c>
      <c r="AJ88" s="321"/>
      <c r="AK88" s="315"/>
      <c r="AL88" s="315"/>
      <c r="AM88" s="651"/>
      <c r="AN88" s="325"/>
      <c r="AO88" s="321"/>
      <c r="AP88" s="315"/>
      <c r="AQ88" s="321"/>
      <c r="AR88" s="321"/>
      <c r="AS88" s="339"/>
      <c r="AT88" s="318"/>
      <c r="AU88" s="325"/>
      <c r="AV88" s="325"/>
      <c r="AW88" s="325"/>
      <c r="AX88" s="315"/>
      <c r="AY88" s="321"/>
      <c r="AZ88" s="315"/>
      <c r="BA88" s="315"/>
      <c r="BB88" s="321"/>
      <c r="BC88" s="159"/>
      <c r="BD88" s="326"/>
      <c r="BE88" s="315"/>
      <c r="BF88" s="319"/>
      <c r="BG88" s="320"/>
      <c r="BH88" s="321"/>
      <c r="BI88" s="323"/>
      <c r="BJ88" s="262"/>
      <c r="BK88" s="342"/>
      <c r="BL88" s="320"/>
      <c r="BM88" s="321"/>
      <c r="BN88" s="321"/>
      <c r="BO88" s="321"/>
      <c r="BP88" s="321"/>
      <c r="BQ88" s="327"/>
      <c r="BR88" s="318"/>
      <c r="BS88" s="328"/>
      <c r="BT88" s="329"/>
      <c r="BU88" s="340"/>
      <c r="BV88" s="318"/>
      <c r="BW88" s="315"/>
      <c r="BX88" s="315"/>
      <c r="BY88" s="315"/>
      <c r="BZ88" s="315"/>
      <c r="CA88" s="315"/>
      <c r="CB88" s="315"/>
      <c r="CC88" s="330"/>
      <c r="CD88" s="318"/>
      <c r="CE88" s="315"/>
      <c r="CF88" s="315"/>
      <c r="CG88" s="319"/>
      <c r="CH88" s="318"/>
      <c r="CI88" s="319"/>
      <c r="CJ88" s="326"/>
      <c r="CK88" s="315"/>
      <c r="CL88" s="315"/>
      <c r="CM88" s="319"/>
      <c r="CN88" s="326"/>
      <c r="CO88" s="315"/>
      <c r="CP88" s="315"/>
      <c r="CQ88" s="315"/>
      <c r="CR88" s="319"/>
      <c r="CS88" s="318"/>
      <c r="CT88" s="331"/>
      <c r="CU88" s="188"/>
      <c r="CV88" s="332"/>
      <c r="CW88" s="333"/>
      <c r="CX88" s="334"/>
      <c r="CY88" s="318"/>
      <c r="CZ88" s="315"/>
      <c r="DA88" s="335"/>
      <c r="DB88" s="189"/>
      <c r="DC88" s="336"/>
      <c r="DD88" s="323"/>
      <c r="DE88" s="319"/>
      <c r="DF88" s="318"/>
      <c r="DG88" s="315"/>
      <c r="DH88" s="315"/>
      <c r="DI88" s="632"/>
      <c r="DJ88" s="633"/>
      <c r="DK88" s="652"/>
      <c r="DL88" s="315"/>
      <c r="DM88" s="315"/>
      <c r="DN88" s="315"/>
      <c r="DO88" s="315"/>
      <c r="DP88" s="315"/>
      <c r="DQ88" s="330"/>
      <c r="DR88" s="318"/>
      <c r="DS88" s="319"/>
      <c r="DT88" s="318"/>
      <c r="DU88" s="315"/>
      <c r="DV88" s="635"/>
      <c r="DW88" s="318"/>
      <c r="DX88" s="315"/>
      <c r="DY88" s="319"/>
      <c r="DZ88" s="318"/>
      <c r="EA88" s="315"/>
      <c r="EB88" s="315"/>
      <c r="EC88" s="315"/>
      <c r="ED88" s="330"/>
      <c r="EE88" s="318"/>
      <c r="EF88" s="319"/>
      <c r="EG88" s="326"/>
      <c r="EH88" s="315"/>
      <c r="EI88" s="635"/>
      <c r="EJ88" s="318"/>
      <c r="EK88" s="315"/>
      <c r="EL88" s="635"/>
      <c r="EM88" s="189"/>
      <c r="EN88" s="636"/>
      <c r="EO88" s="637"/>
      <c r="EP88" s="638"/>
      <c r="EQ88" s="315"/>
      <c r="ER88" s="315"/>
      <c r="ES88" s="319"/>
      <c r="ET88" s="639">
        <f t="shared" si="7"/>
        <v>1</v>
      </c>
      <c r="EU88" s="640"/>
      <c r="EV88" s="640">
        <f t="shared" si="8"/>
        <v>0</v>
      </c>
      <c r="EW88" s="640"/>
      <c r="EX88" s="641">
        <f t="shared" si="9"/>
        <v>0</v>
      </c>
    </row>
    <row r="89" spans="1:154" s="363" customFormat="1" ht="20.100000000000001" customHeight="1" x14ac:dyDescent="0.2">
      <c r="A89" s="646" t="s">
        <v>412</v>
      </c>
      <c r="B89" s="578" t="s">
        <v>484</v>
      </c>
      <c r="C89" s="312"/>
      <c r="D89" s="313" t="s">
        <v>485</v>
      </c>
      <c r="E89" s="312"/>
      <c r="F89" s="580" t="s">
        <v>486</v>
      </c>
      <c r="G89" s="581"/>
      <c r="H89" s="582" t="s">
        <v>487</v>
      </c>
      <c r="I89" s="627"/>
      <c r="J89" s="314"/>
      <c r="K89" s="315"/>
      <c r="L89" s="628"/>
      <c r="M89" s="629"/>
      <c r="N89" s="316"/>
      <c r="O89" s="317"/>
      <c r="P89" s="318"/>
      <c r="Q89" s="301"/>
      <c r="R89" s="301"/>
      <c r="S89" s="315"/>
      <c r="T89" s="315"/>
      <c r="U89" s="315"/>
      <c r="V89" s="315"/>
      <c r="W89" s="315"/>
      <c r="X89" s="315"/>
      <c r="Y89" s="315"/>
      <c r="Z89" s="315"/>
      <c r="AA89" s="319"/>
      <c r="AB89" s="653"/>
      <c r="AC89" s="650"/>
      <c r="AD89" s="315"/>
      <c r="AE89" s="315"/>
      <c r="AF89" s="315"/>
      <c r="AG89" s="321"/>
      <c r="AH89" s="322" t="str">
        <f t="shared" si="10"/>
        <v/>
      </c>
      <c r="AI89" s="323" t="str">
        <f>IF(ISNUMBER(AH89),100*AH89/(#REF!),"")</f>
        <v/>
      </c>
      <c r="AJ89" s="321"/>
      <c r="AK89" s="315"/>
      <c r="AL89" s="315"/>
      <c r="AM89" s="324"/>
      <c r="AN89" s="325"/>
      <c r="AO89" s="321"/>
      <c r="AP89" s="315"/>
      <c r="AQ89" s="321"/>
      <c r="AR89" s="321"/>
      <c r="AS89" s="339"/>
      <c r="AT89" s="318"/>
      <c r="AU89" s="325"/>
      <c r="AV89" s="325"/>
      <c r="AW89" s="325"/>
      <c r="AX89" s="315"/>
      <c r="AY89" s="321"/>
      <c r="AZ89" s="315"/>
      <c r="BA89" s="315"/>
      <c r="BB89" s="321"/>
      <c r="BC89" s="159"/>
      <c r="BD89" s="326"/>
      <c r="BE89" s="315"/>
      <c r="BF89" s="319"/>
      <c r="BG89" s="320"/>
      <c r="BH89" s="654"/>
      <c r="BI89" s="323"/>
      <c r="BJ89" s="262"/>
      <c r="BK89" s="342"/>
      <c r="BL89" s="320"/>
      <c r="BM89" s="321"/>
      <c r="BN89" s="321"/>
      <c r="BO89" s="321"/>
      <c r="BP89" s="321"/>
      <c r="BQ89" s="327"/>
      <c r="BR89" s="318"/>
      <c r="BS89" s="328"/>
      <c r="BT89" s="329"/>
      <c r="BU89" s="340"/>
      <c r="BV89" s="318"/>
      <c r="BW89" s="315"/>
      <c r="BX89" s="315"/>
      <c r="BY89" s="315"/>
      <c r="BZ89" s="315"/>
      <c r="CA89" s="315"/>
      <c r="CB89" s="315"/>
      <c r="CC89" s="330"/>
      <c r="CD89" s="318"/>
      <c r="CE89" s="315"/>
      <c r="CF89" s="315"/>
      <c r="CG89" s="319"/>
      <c r="CH89" s="318"/>
      <c r="CI89" s="319"/>
      <c r="CJ89" s="326"/>
      <c r="CK89" s="315"/>
      <c r="CL89" s="315"/>
      <c r="CM89" s="319"/>
      <c r="CN89" s="326"/>
      <c r="CO89" s="315"/>
      <c r="CP89" s="315"/>
      <c r="CQ89" s="315"/>
      <c r="CR89" s="319"/>
      <c r="CS89" s="318"/>
      <c r="CT89" s="331"/>
      <c r="CU89" s="655"/>
      <c r="CV89" s="656"/>
      <c r="CW89" s="333"/>
      <c r="CX89" s="334"/>
      <c r="CY89" s="318"/>
      <c r="CZ89" s="315"/>
      <c r="DA89" s="335"/>
      <c r="DB89" s="189"/>
      <c r="DC89" s="336"/>
      <c r="DD89" s="323"/>
      <c r="DE89" s="319"/>
      <c r="DF89" s="318"/>
      <c r="DG89" s="315"/>
      <c r="DH89" s="315"/>
      <c r="DI89" s="632"/>
      <c r="DJ89" s="633"/>
      <c r="DK89" s="588"/>
      <c r="DL89" s="315"/>
      <c r="DM89" s="315"/>
      <c r="DN89" s="315"/>
      <c r="DO89" s="315"/>
      <c r="DP89" s="315"/>
      <c r="DQ89" s="330"/>
      <c r="DR89" s="318"/>
      <c r="DS89" s="319"/>
      <c r="DT89" s="318"/>
      <c r="DU89" s="315"/>
      <c r="DV89" s="635"/>
      <c r="DW89" s="318"/>
      <c r="DX89" s="315"/>
      <c r="DY89" s="319"/>
      <c r="DZ89" s="318"/>
      <c r="EA89" s="315"/>
      <c r="EB89" s="315"/>
      <c r="EC89" s="315"/>
      <c r="ED89" s="330"/>
      <c r="EE89" s="318"/>
      <c r="EF89" s="319"/>
      <c r="EG89" s="326"/>
      <c r="EH89" s="315"/>
      <c r="EI89" s="635"/>
      <c r="EJ89" s="318"/>
      <c r="EK89" s="315"/>
      <c r="EL89" s="635"/>
      <c r="EM89" s="189"/>
      <c r="EN89" s="636"/>
      <c r="EO89" s="637"/>
      <c r="EP89" s="638"/>
      <c r="EQ89" s="315"/>
      <c r="ER89" s="315"/>
      <c r="ES89" s="319"/>
      <c r="ET89" s="639">
        <f t="shared" si="7"/>
        <v>1</v>
      </c>
      <c r="EU89" s="640"/>
      <c r="EV89" s="640">
        <f t="shared" si="8"/>
        <v>0</v>
      </c>
      <c r="EW89" s="640"/>
      <c r="EX89" s="641">
        <f t="shared" si="9"/>
        <v>0</v>
      </c>
    </row>
    <row r="90" spans="1:154" s="363" customFormat="1" ht="20.100000000000001" customHeight="1" x14ac:dyDescent="0.2">
      <c r="A90" s="646" t="s">
        <v>413</v>
      </c>
      <c r="B90" s="578" t="s">
        <v>484</v>
      </c>
      <c r="C90" s="312"/>
      <c r="D90" s="313" t="s">
        <v>485</v>
      </c>
      <c r="E90" s="312"/>
      <c r="F90" s="580" t="s">
        <v>486</v>
      </c>
      <c r="G90" s="581"/>
      <c r="H90" s="582" t="s">
        <v>487</v>
      </c>
      <c r="I90" s="627"/>
      <c r="J90" s="314"/>
      <c r="K90" s="315"/>
      <c r="L90" s="628"/>
      <c r="M90" s="629"/>
      <c r="N90" s="316"/>
      <c r="O90" s="317"/>
      <c r="P90" s="318"/>
      <c r="Q90" s="301"/>
      <c r="R90" s="301"/>
      <c r="S90" s="315"/>
      <c r="T90" s="315"/>
      <c r="U90" s="315"/>
      <c r="V90" s="315"/>
      <c r="W90" s="315"/>
      <c r="X90" s="315"/>
      <c r="Y90" s="315"/>
      <c r="Z90" s="315"/>
      <c r="AA90" s="319"/>
      <c r="AB90" s="653"/>
      <c r="AC90" s="650"/>
      <c r="AD90" s="315"/>
      <c r="AE90" s="315"/>
      <c r="AF90" s="315"/>
      <c r="AG90" s="321"/>
      <c r="AH90" s="322" t="str">
        <f t="shared" si="10"/>
        <v/>
      </c>
      <c r="AI90" s="323" t="str">
        <f>IF(ISNUMBER(AH90),100*AH90/(#REF!),"")</f>
        <v/>
      </c>
      <c r="AJ90" s="321"/>
      <c r="AK90" s="315"/>
      <c r="AL90" s="315"/>
      <c r="AM90" s="324"/>
      <c r="AN90" s="325"/>
      <c r="AO90" s="321"/>
      <c r="AP90" s="315"/>
      <c r="AQ90" s="321"/>
      <c r="AR90" s="321"/>
      <c r="AS90" s="339"/>
      <c r="AT90" s="318"/>
      <c r="AU90" s="325"/>
      <c r="AV90" s="325"/>
      <c r="AW90" s="325"/>
      <c r="AX90" s="315"/>
      <c r="AY90" s="321"/>
      <c r="AZ90" s="315"/>
      <c r="BA90" s="315"/>
      <c r="BB90" s="321"/>
      <c r="BC90" s="159"/>
      <c r="BD90" s="326"/>
      <c r="BE90" s="315"/>
      <c r="BF90" s="319"/>
      <c r="BG90" s="320"/>
      <c r="BH90" s="654"/>
      <c r="BI90" s="323"/>
      <c r="BJ90" s="262"/>
      <c r="BK90" s="342"/>
      <c r="BL90" s="320"/>
      <c r="BM90" s="321"/>
      <c r="BN90" s="321"/>
      <c r="BO90" s="321"/>
      <c r="BP90" s="321"/>
      <c r="BQ90" s="327"/>
      <c r="BR90" s="318"/>
      <c r="BS90" s="328"/>
      <c r="BT90" s="329"/>
      <c r="BU90" s="340"/>
      <c r="BV90" s="318"/>
      <c r="BW90" s="315"/>
      <c r="BX90" s="315"/>
      <c r="BY90" s="315"/>
      <c r="BZ90" s="315"/>
      <c r="CA90" s="315"/>
      <c r="CB90" s="315"/>
      <c r="CC90" s="330"/>
      <c r="CD90" s="318"/>
      <c r="CE90" s="315"/>
      <c r="CF90" s="315"/>
      <c r="CG90" s="319"/>
      <c r="CH90" s="318"/>
      <c r="CI90" s="319"/>
      <c r="CJ90" s="326"/>
      <c r="CK90" s="315"/>
      <c r="CL90" s="315"/>
      <c r="CM90" s="319"/>
      <c r="CN90" s="326"/>
      <c r="CO90" s="315"/>
      <c r="CP90" s="315"/>
      <c r="CQ90" s="315"/>
      <c r="CR90" s="319"/>
      <c r="CS90" s="318"/>
      <c r="CT90" s="331"/>
      <c r="CU90" s="655"/>
      <c r="CV90" s="656"/>
      <c r="CW90" s="333"/>
      <c r="CX90" s="334"/>
      <c r="CY90" s="318"/>
      <c r="CZ90" s="315"/>
      <c r="DA90" s="335"/>
      <c r="DB90" s="189"/>
      <c r="DC90" s="336"/>
      <c r="DD90" s="323"/>
      <c r="DE90" s="319"/>
      <c r="DF90" s="318"/>
      <c r="DG90" s="315"/>
      <c r="DH90" s="315"/>
      <c r="DI90" s="632"/>
      <c r="DJ90" s="633"/>
      <c r="DK90" s="318"/>
      <c r="DL90" s="315"/>
      <c r="DM90" s="315"/>
      <c r="DN90" s="315"/>
      <c r="DO90" s="315"/>
      <c r="DP90" s="315"/>
      <c r="DQ90" s="330"/>
      <c r="DR90" s="318"/>
      <c r="DS90" s="319"/>
      <c r="DT90" s="318"/>
      <c r="DU90" s="315"/>
      <c r="DV90" s="635"/>
      <c r="DW90" s="318"/>
      <c r="DX90" s="315"/>
      <c r="DY90" s="319"/>
      <c r="DZ90" s="318"/>
      <c r="EA90" s="315"/>
      <c r="EB90" s="315"/>
      <c r="EC90" s="315"/>
      <c r="ED90" s="330"/>
      <c r="EE90" s="318"/>
      <c r="EF90" s="319"/>
      <c r="EG90" s="326"/>
      <c r="EH90" s="315"/>
      <c r="EI90" s="635"/>
      <c r="EJ90" s="318"/>
      <c r="EK90" s="315"/>
      <c r="EL90" s="635"/>
      <c r="EM90" s="189"/>
      <c r="EN90" s="636"/>
      <c r="EO90" s="637"/>
      <c r="EP90" s="638"/>
      <c r="EQ90" s="315"/>
      <c r="ER90" s="315"/>
      <c r="ES90" s="319"/>
      <c r="ET90" s="639">
        <f t="shared" si="7"/>
        <v>1</v>
      </c>
      <c r="EU90" s="640"/>
      <c r="EV90" s="640">
        <f t="shared" si="8"/>
        <v>0</v>
      </c>
      <c r="EW90" s="640"/>
      <c r="EX90" s="641">
        <f t="shared" si="9"/>
        <v>0</v>
      </c>
    </row>
    <row r="91" spans="1:154" s="363" customFormat="1" ht="20.100000000000001" customHeight="1" x14ac:dyDescent="0.2">
      <c r="A91" s="646" t="s">
        <v>414</v>
      </c>
      <c r="B91" s="578" t="s">
        <v>484</v>
      </c>
      <c r="C91" s="312"/>
      <c r="D91" s="313" t="s">
        <v>485</v>
      </c>
      <c r="E91" s="312"/>
      <c r="F91" s="580" t="s">
        <v>486</v>
      </c>
      <c r="G91" s="581"/>
      <c r="H91" s="582" t="s">
        <v>487</v>
      </c>
      <c r="I91" s="627"/>
      <c r="J91" s="314"/>
      <c r="K91" s="315"/>
      <c r="L91" s="628"/>
      <c r="M91" s="629"/>
      <c r="N91" s="316"/>
      <c r="O91" s="317"/>
      <c r="P91" s="318"/>
      <c r="Q91" s="301"/>
      <c r="R91" s="301"/>
      <c r="S91" s="315"/>
      <c r="T91" s="315"/>
      <c r="U91" s="315"/>
      <c r="V91" s="315"/>
      <c r="W91" s="315"/>
      <c r="X91" s="315"/>
      <c r="Y91" s="315"/>
      <c r="Z91" s="315"/>
      <c r="AA91" s="319"/>
      <c r="AB91" s="653"/>
      <c r="AC91" s="650"/>
      <c r="AD91" s="315"/>
      <c r="AE91" s="315"/>
      <c r="AF91" s="315"/>
      <c r="AG91" s="321"/>
      <c r="AH91" s="322" t="str">
        <f t="shared" si="10"/>
        <v/>
      </c>
      <c r="AI91" s="323" t="str">
        <f>IF(ISNUMBER(AH91),100*AH91/(#REF!),"")</f>
        <v/>
      </c>
      <c r="AJ91" s="321"/>
      <c r="AK91" s="315"/>
      <c r="AL91" s="315"/>
      <c r="AM91" s="324"/>
      <c r="AN91" s="325"/>
      <c r="AO91" s="321"/>
      <c r="AP91" s="315"/>
      <c r="AQ91" s="321"/>
      <c r="AR91" s="321"/>
      <c r="AS91" s="339"/>
      <c r="AT91" s="318"/>
      <c r="AU91" s="325"/>
      <c r="AV91" s="325"/>
      <c r="AW91" s="325"/>
      <c r="AX91" s="315"/>
      <c r="AY91" s="321"/>
      <c r="AZ91" s="315"/>
      <c r="BA91" s="315"/>
      <c r="BB91" s="321"/>
      <c r="BC91" s="159"/>
      <c r="BD91" s="326"/>
      <c r="BE91" s="315"/>
      <c r="BF91" s="319"/>
      <c r="BG91" s="320"/>
      <c r="BH91" s="654"/>
      <c r="BI91" s="323"/>
      <c r="BJ91" s="262"/>
      <c r="BK91" s="342"/>
      <c r="BL91" s="320"/>
      <c r="BM91" s="321"/>
      <c r="BN91" s="321"/>
      <c r="BO91" s="321"/>
      <c r="BP91" s="321"/>
      <c r="BQ91" s="327"/>
      <c r="BR91" s="318"/>
      <c r="BS91" s="328"/>
      <c r="BT91" s="329"/>
      <c r="BU91" s="340"/>
      <c r="BV91" s="318"/>
      <c r="BW91" s="315"/>
      <c r="BX91" s="315"/>
      <c r="BY91" s="315"/>
      <c r="BZ91" s="315"/>
      <c r="CA91" s="315"/>
      <c r="CB91" s="315"/>
      <c r="CC91" s="330"/>
      <c r="CD91" s="318"/>
      <c r="CE91" s="315"/>
      <c r="CF91" s="315"/>
      <c r="CG91" s="319"/>
      <c r="CH91" s="318"/>
      <c r="CI91" s="319"/>
      <c r="CJ91" s="326"/>
      <c r="CK91" s="315"/>
      <c r="CL91" s="315"/>
      <c r="CM91" s="319"/>
      <c r="CN91" s="326"/>
      <c r="CO91" s="315"/>
      <c r="CP91" s="315"/>
      <c r="CQ91" s="315"/>
      <c r="CR91" s="319"/>
      <c r="CS91" s="318"/>
      <c r="CT91" s="331"/>
      <c r="CU91" s="655"/>
      <c r="CV91" s="656"/>
      <c r="CW91" s="333"/>
      <c r="CX91" s="334"/>
      <c r="CY91" s="318"/>
      <c r="CZ91" s="315"/>
      <c r="DA91" s="335"/>
      <c r="DB91" s="189"/>
      <c r="DC91" s="336"/>
      <c r="DD91" s="323"/>
      <c r="DE91" s="319"/>
      <c r="DF91" s="318"/>
      <c r="DG91" s="315"/>
      <c r="DH91" s="315"/>
      <c r="DI91" s="632"/>
      <c r="DJ91" s="633"/>
      <c r="DK91" s="318"/>
      <c r="DL91" s="315"/>
      <c r="DM91" s="315"/>
      <c r="DN91" s="315"/>
      <c r="DO91" s="315"/>
      <c r="DP91" s="315"/>
      <c r="DQ91" s="330"/>
      <c r="DR91" s="318"/>
      <c r="DS91" s="319"/>
      <c r="DT91" s="318"/>
      <c r="DU91" s="315"/>
      <c r="DV91" s="635"/>
      <c r="DW91" s="318"/>
      <c r="DX91" s="315"/>
      <c r="DY91" s="319"/>
      <c r="DZ91" s="318"/>
      <c r="EA91" s="315"/>
      <c r="EB91" s="315"/>
      <c r="EC91" s="315"/>
      <c r="ED91" s="330"/>
      <c r="EE91" s="318"/>
      <c r="EF91" s="319"/>
      <c r="EG91" s="326"/>
      <c r="EH91" s="315"/>
      <c r="EI91" s="635"/>
      <c r="EJ91" s="318"/>
      <c r="EK91" s="315"/>
      <c r="EL91" s="635"/>
      <c r="EM91" s="189"/>
      <c r="EN91" s="636"/>
      <c r="EO91" s="637"/>
      <c r="EP91" s="638"/>
      <c r="EQ91" s="315"/>
      <c r="ER91" s="315"/>
      <c r="ES91" s="319"/>
      <c r="ET91" s="639">
        <f t="shared" si="7"/>
        <v>1</v>
      </c>
      <c r="EU91" s="640"/>
      <c r="EV91" s="640">
        <f t="shared" si="8"/>
        <v>0</v>
      </c>
      <c r="EW91" s="640"/>
      <c r="EX91" s="641">
        <f t="shared" si="9"/>
        <v>0</v>
      </c>
    </row>
    <row r="92" spans="1:154" s="363" customFormat="1" ht="20.100000000000001" customHeight="1" x14ac:dyDescent="0.2">
      <c r="A92" s="646" t="s">
        <v>415</v>
      </c>
      <c r="B92" s="578" t="s">
        <v>484</v>
      </c>
      <c r="C92" s="312"/>
      <c r="D92" s="313" t="s">
        <v>485</v>
      </c>
      <c r="E92" s="312"/>
      <c r="F92" s="580" t="s">
        <v>486</v>
      </c>
      <c r="G92" s="581"/>
      <c r="H92" s="582" t="s">
        <v>487</v>
      </c>
      <c r="I92" s="627"/>
      <c r="J92" s="314"/>
      <c r="K92" s="315"/>
      <c r="L92" s="628"/>
      <c r="M92" s="629"/>
      <c r="N92" s="316"/>
      <c r="O92" s="317"/>
      <c r="P92" s="318"/>
      <c r="Q92" s="301"/>
      <c r="R92" s="301"/>
      <c r="S92" s="315"/>
      <c r="T92" s="315"/>
      <c r="U92" s="315"/>
      <c r="V92" s="315"/>
      <c r="W92" s="315"/>
      <c r="X92" s="315"/>
      <c r="Y92" s="315"/>
      <c r="Z92" s="315"/>
      <c r="AA92" s="319"/>
      <c r="AB92" s="653"/>
      <c r="AC92" s="650"/>
      <c r="AD92" s="315"/>
      <c r="AE92" s="315"/>
      <c r="AF92" s="315"/>
      <c r="AG92" s="321"/>
      <c r="AH92" s="322" t="str">
        <f t="shared" si="10"/>
        <v/>
      </c>
      <c r="AI92" s="323" t="str">
        <f>IF(ISNUMBER(AH92),100*AH92/(#REF!),"")</f>
        <v/>
      </c>
      <c r="AJ92" s="321"/>
      <c r="AK92" s="315"/>
      <c r="AL92" s="315"/>
      <c r="AM92" s="324"/>
      <c r="AN92" s="325"/>
      <c r="AO92" s="321"/>
      <c r="AP92" s="315"/>
      <c r="AQ92" s="321"/>
      <c r="AR92" s="321"/>
      <c r="AS92" s="339"/>
      <c r="AT92" s="318"/>
      <c r="AU92" s="325"/>
      <c r="AV92" s="325"/>
      <c r="AW92" s="325"/>
      <c r="AX92" s="315"/>
      <c r="AY92" s="321"/>
      <c r="AZ92" s="315"/>
      <c r="BA92" s="315"/>
      <c r="BB92" s="321"/>
      <c r="BC92" s="159"/>
      <c r="BD92" s="326"/>
      <c r="BE92" s="315"/>
      <c r="BF92" s="319"/>
      <c r="BG92" s="320"/>
      <c r="BH92" s="654"/>
      <c r="BI92" s="323"/>
      <c r="BJ92" s="262"/>
      <c r="BK92" s="342"/>
      <c r="BL92" s="320"/>
      <c r="BM92" s="321"/>
      <c r="BN92" s="321"/>
      <c r="BO92" s="321"/>
      <c r="BP92" s="321"/>
      <c r="BQ92" s="327"/>
      <c r="BR92" s="318"/>
      <c r="BS92" s="328"/>
      <c r="BT92" s="329"/>
      <c r="BU92" s="340"/>
      <c r="BV92" s="318"/>
      <c r="BW92" s="315"/>
      <c r="BX92" s="315"/>
      <c r="BY92" s="315"/>
      <c r="BZ92" s="315"/>
      <c r="CA92" s="315"/>
      <c r="CB92" s="315"/>
      <c r="CC92" s="330"/>
      <c r="CD92" s="318"/>
      <c r="CE92" s="315"/>
      <c r="CF92" s="315"/>
      <c r="CG92" s="319"/>
      <c r="CH92" s="318"/>
      <c r="CI92" s="319"/>
      <c r="CJ92" s="326"/>
      <c r="CK92" s="315"/>
      <c r="CL92" s="315"/>
      <c r="CM92" s="319"/>
      <c r="CN92" s="326"/>
      <c r="CO92" s="315"/>
      <c r="CP92" s="315"/>
      <c r="CQ92" s="315"/>
      <c r="CR92" s="319"/>
      <c r="CS92" s="318"/>
      <c r="CT92" s="331"/>
      <c r="CU92" s="655"/>
      <c r="CV92" s="656"/>
      <c r="CW92" s="333"/>
      <c r="CX92" s="334"/>
      <c r="CY92" s="318"/>
      <c r="CZ92" s="315"/>
      <c r="DA92" s="335"/>
      <c r="DB92" s="189"/>
      <c r="DC92" s="336"/>
      <c r="DD92" s="323"/>
      <c r="DE92" s="319"/>
      <c r="DF92" s="318"/>
      <c r="DG92" s="315"/>
      <c r="DH92" s="315"/>
      <c r="DI92" s="632"/>
      <c r="DJ92" s="633"/>
      <c r="DK92" s="318"/>
      <c r="DL92" s="315"/>
      <c r="DM92" s="315"/>
      <c r="DN92" s="315"/>
      <c r="DO92" s="315"/>
      <c r="DP92" s="315"/>
      <c r="DQ92" s="330"/>
      <c r="DR92" s="318"/>
      <c r="DS92" s="319"/>
      <c r="DT92" s="318"/>
      <c r="DU92" s="315"/>
      <c r="DV92" s="635"/>
      <c r="DW92" s="318"/>
      <c r="DX92" s="315"/>
      <c r="DY92" s="319"/>
      <c r="DZ92" s="318"/>
      <c r="EA92" s="315"/>
      <c r="EB92" s="315"/>
      <c r="EC92" s="315"/>
      <c r="ED92" s="330"/>
      <c r="EE92" s="318"/>
      <c r="EF92" s="319"/>
      <c r="EG92" s="326"/>
      <c r="EH92" s="315"/>
      <c r="EI92" s="635"/>
      <c r="EJ92" s="318"/>
      <c r="EK92" s="315"/>
      <c r="EL92" s="635"/>
      <c r="EM92" s="189"/>
      <c r="EN92" s="636"/>
      <c r="EO92" s="637"/>
      <c r="EP92" s="638"/>
      <c r="EQ92" s="315"/>
      <c r="ER92" s="315"/>
      <c r="ES92" s="319"/>
      <c r="ET92" s="639">
        <f t="shared" si="7"/>
        <v>1</v>
      </c>
      <c r="EU92" s="640"/>
      <c r="EV92" s="640">
        <f t="shared" si="8"/>
        <v>0</v>
      </c>
      <c r="EW92" s="640"/>
      <c r="EX92" s="641">
        <f t="shared" si="9"/>
        <v>0</v>
      </c>
    </row>
    <row r="93" spans="1:154" s="363" customFormat="1" ht="20.100000000000001" customHeight="1" x14ac:dyDescent="0.2">
      <c r="A93" s="646" t="s">
        <v>416</v>
      </c>
      <c r="B93" s="578" t="s">
        <v>484</v>
      </c>
      <c r="C93" s="312"/>
      <c r="D93" s="313" t="s">
        <v>485</v>
      </c>
      <c r="E93" s="312"/>
      <c r="F93" s="580" t="s">
        <v>486</v>
      </c>
      <c r="G93" s="581"/>
      <c r="H93" s="582" t="s">
        <v>487</v>
      </c>
      <c r="I93" s="627"/>
      <c r="J93" s="314"/>
      <c r="K93" s="315"/>
      <c r="L93" s="628"/>
      <c r="M93" s="629"/>
      <c r="N93" s="316"/>
      <c r="O93" s="317"/>
      <c r="P93" s="318"/>
      <c r="Q93" s="301"/>
      <c r="R93" s="301"/>
      <c r="S93" s="315"/>
      <c r="T93" s="315"/>
      <c r="U93" s="315"/>
      <c r="V93" s="315"/>
      <c r="W93" s="315"/>
      <c r="X93" s="315"/>
      <c r="Y93" s="315"/>
      <c r="Z93" s="315"/>
      <c r="AA93" s="319"/>
      <c r="AB93" s="653"/>
      <c r="AC93" s="650"/>
      <c r="AD93" s="315"/>
      <c r="AE93" s="315"/>
      <c r="AF93" s="315"/>
      <c r="AG93" s="321"/>
      <c r="AH93" s="322" t="str">
        <f t="shared" si="10"/>
        <v/>
      </c>
      <c r="AI93" s="323" t="str">
        <f>IF(ISNUMBER(AH93),100*AH93/(#REF!),"")</f>
        <v/>
      </c>
      <c r="AJ93" s="321"/>
      <c r="AK93" s="315"/>
      <c r="AL93" s="315"/>
      <c r="AM93" s="324"/>
      <c r="AN93" s="325"/>
      <c r="AO93" s="321"/>
      <c r="AP93" s="315"/>
      <c r="AQ93" s="321"/>
      <c r="AR93" s="321"/>
      <c r="AS93" s="339"/>
      <c r="AT93" s="318"/>
      <c r="AU93" s="325"/>
      <c r="AV93" s="325"/>
      <c r="AW93" s="325"/>
      <c r="AX93" s="315"/>
      <c r="AY93" s="321"/>
      <c r="AZ93" s="315"/>
      <c r="BA93" s="315"/>
      <c r="BB93" s="321"/>
      <c r="BC93" s="159"/>
      <c r="BD93" s="326"/>
      <c r="BE93" s="315"/>
      <c r="BF93" s="319"/>
      <c r="BG93" s="320"/>
      <c r="BH93" s="654"/>
      <c r="BI93" s="323"/>
      <c r="BJ93" s="262"/>
      <c r="BK93" s="342"/>
      <c r="BL93" s="320"/>
      <c r="BM93" s="321"/>
      <c r="BN93" s="321"/>
      <c r="BO93" s="321"/>
      <c r="BP93" s="321"/>
      <c r="BQ93" s="327"/>
      <c r="BR93" s="318"/>
      <c r="BS93" s="328"/>
      <c r="BT93" s="329"/>
      <c r="BU93" s="340"/>
      <c r="BV93" s="318"/>
      <c r="BW93" s="315"/>
      <c r="BX93" s="315"/>
      <c r="BY93" s="315"/>
      <c r="BZ93" s="315"/>
      <c r="CA93" s="315"/>
      <c r="CB93" s="315"/>
      <c r="CC93" s="330"/>
      <c r="CD93" s="318"/>
      <c r="CE93" s="315"/>
      <c r="CF93" s="315"/>
      <c r="CG93" s="319"/>
      <c r="CH93" s="318"/>
      <c r="CI93" s="319"/>
      <c r="CJ93" s="326"/>
      <c r="CK93" s="315"/>
      <c r="CL93" s="315"/>
      <c r="CM93" s="319"/>
      <c r="CN93" s="326"/>
      <c r="CO93" s="315"/>
      <c r="CP93" s="315"/>
      <c r="CQ93" s="315"/>
      <c r="CR93" s="319"/>
      <c r="CS93" s="318"/>
      <c r="CT93" s="331"/>
      <c r="CU93" s="655"/>
      <c r="CV93" s="656"/>
      <c r="CW93" s="333"/>
      <c r="CX93" s="334"/>
      <c r="CY93" s="318"/>
      <c r="CZ93" s="315"/>
      <c r="DA93" s="335"/>
      <c r="DB93" s="189"/>
      <c r="DC93" s="336"/>
      <c r="DD93" s="323"/>
      <c r="DE93" s="319"/>
      <c r="DF93" s="318"/>
      <c r="DG93" s="315"/>
      <c r="DH93" s="315"/>
      <c r="DI93" s="632"/>
      <c r="DJ93" s="633"/>
      <c r="DK93" s="318"/>
      <c r="DL93" s="315"/>
      <c r="DM93" s="315"/>
      <c r="DN93" s="315"/>
      <c r="DO93" s="315"/>
      <c r="DP93" s="315"/>
      <c r="DQ93" s="330"/>
      <c r="DR93" s="318"/>
      <c r="DS93" s="319"/>
      <c r="DT93" s="318"/>
      <c r="DU93" s="315"/>
      <c r="DV93" s="635"/>
      <c r="DW93" s="318"/>
      <c r="DX93" s="315"/>
      <c r="DY93" s="319"/>
      <c r="DZ93" s="318"/>
      <c r="EA93" s="315"/>
      <c r="EB93" s="315"/>
      <c r="EC93" s="315"/>
      <c r="ED93" s="330"/>
      <c r="EE93" s="318"/>
      <c r="EF93" s="319"/>
      <c r="EG93" s="326"/>
      <c r="EH93" s="315"/>
      <c r="EI93" s="635"/>
      <c r="EJ93" s="318"/>
      <c r="EK93" s="315"/>
      <c r="EL93" s="635"/>
      <c r="EM93" s="189"/>
      <c r="EN93" s="636"/>
      <c r="EO93" s="637"/>
      <c r="EP93" s="638"/>
      <c r="EQ93" s="315"/>
      <c r="ER93" s="315"/>
      <c r="ES93" s="319"/>
      <c r="ET93" s="639">
        <f t="shared" si="7"/>
        <v>1</v>
      </c>
      <c r="EU93" s="640"/>
      <c r="EV93" s="640">
        <f t="shared" si="8"/>
        <v>0</v>
      </c>
      <c r="EW93" s="640"/>
      <c r="EX93" s="641">
        <f t="shared" si="9"/>
        <v>0</v>
      </c>
    </row>
    <row r="94" spans="1:154" s="363" customFormat="1" ht="20.100000000000001" customHeight="1" x14ac:dyDescent="0.2">
      <c r="A94" s="646" t="s">
        <v>417</v>
      </c>
      <c r="B94" s="578" t="s">
        <v>484</v>
      </c>
      <c r="C94" s="312"/>
      <c r="D94" s="313" t="s">
        <v>485</v>
      </c>
      <c r="E94" s="312"/>
      <c r="F94" s="580" t="s">
        <v>486</v>
      </c>
      <c r="G94" s="581"/>
      <c r="H94" s="582" t="s">
        <v>487</v>
      </c>
      <c r="I94" s="627"/>
      <c r="J94" s="314"/>
      <c r="K94" s="315"/>
      <c r="L94" s="628"/>
      <c r="M94" s="629"/>
      <c r="N94" s="316"/>
      <c r="O94" s="317"/>
      <c r="P94" s="318"/>
      <c r="Q94" s="301"/>
      <c r="R94" s="301"/>
      <c r="S94" s="315"/>
      <c r="T94" s="315"/>
      <c r="U94" s="315"/>
      <c r="V94" s="315"/>
      <c r="W94" s="315"/>
      <c r="X94" s="315"/>
      <c r="Y94" s="315"/>
      <c r="Z94" s="315"/>
      <c r="AA94" s="319"/>
      <c r="AB94" s="653"/>
      <c r="AC94" s="650"/>
      <c r="AD94" s="315"/>
      <c r="AE94" s="315"/>
      <c r="AF94" s="315"/>
      <c r="AG94" s="321"/>
      <c r="AH94" s="322" t="str">
        <f t="shared" si="10"/>
        <v/>
      </c>
      <c r="AI94" s="323" t="str">
        <f>IF(ISNUMBER(AH94),100*AH94/(#REF!),"")</f>
        <v/>
      </c>
      <c r="AJ94" s="321"/>
      <c r="AK94" s="315"/>
      <c r="AL94" s="315"/>
      <c r="AM94" s="324"/>
      <c r="AN94" s="325"/>
      <c r="AO94" s="321"/>
      <c r="AP94" s="315"/>
      <c r="AQ94" s="321"/>
      <c r="AR94" s="321"/>
      <c r="AS94" s="339"/>
      <c r="AT94" s="318"/>
      <c r="AU94" s="325"/>
      <c r="AV94" s="325"/>
      <c r="AW94" s="325"/>
      <c r="AX94" s="315"/>
      <c r="AY94" s="321"/>
      <c r="AZ94" s="315"/>
      <c r="BA94" s="315"/>
      <c r="BB94" s="321"/>
      <c r="BC94" s="159"/>
      <c r="BD94" s="326"/>
      <c r="BE94" s="315"/>
      <c r="BF94" s="319"/>
      <c r="BG94" s="320"/>
      <c r="BH94" s="654"/>
      <c r="BI94" s="323"/>
      <c r="BJ94" s="262"/>
      <c r="BK94" s="342"/>
      <c r="BL94" s="320"/>
      <c r="BM94" s="321"/>
      <c r="BN94" s="321"/>
      <c r="BO94" s="321"/>
      <c r="BP94" s="321"/>
      <c r="BQ94" s="327"/>
      <c r="BR94" s="318"/>
      <c r="BS94" s="328"/>
      <c r="BT94" s="329"/>
      <c r="BU94" s="340"/>
      <c r="BV94" s="318"/>
      <c r="BW94" s="315"/>
      <c r="BX94" s="315"/>
      <c r="BY94" s="315"/>
      <c r="BZ94" s="315"/>
      <c r="CA94" s="315"/>
      <c r="CB94" s="315"/>
      <c r="CC94" s="330"/>
      <c r="CD94" s="318"/>
      <c r="CE94" s="315"/>
      <c r="CF94" s="315"/>
      <c r="CG94" s="319"/>
      <c r="CH94" s="318"/>
      <c r="CI94" s="319"/>
      <c r="CJ94" s="326"/>
      <c r="CK94" s="315"/>
      <c r="CL94" s="315"/>
      <c r="CM94" s="319"/>
      <c r="CN94" s="326"/>
      <c r="CO94" s="315"/>
      <c r="CP94" s="315"/>
      <c r="CQ94" s="315"/>
      <c r="CR94" s="319"/>
      <c r="CS94" s="318"/>
      <c r="CT94" s="331"/>
      <c r="CU94" s="655"/>
      <c r="CV94" s="656"/>
      <c r="CW94" s="333"/>
      <c r="CX94" s="334"/>
      <c r="CY94" s="318"/>
      <c r="CZ94" s="315"/>
      <c r="DA94" s="335"/>
      <c r="DB94" s="189"/>
      <c r="DC94" s="336"/>
      <c r="DD94" s="323"/>
      <c r="DE94" s="319"/>
      <c r="DF94" s="318"/>
      <c r="DG94" s="315"/>
      <c r="DH94" s="315"/>
      <c r="DI94" s="632"/>
      <c r="DJ94" s="633"/>
      <c r="DK94" s="318"/>
      <c r="DL94" s="315"/>
      <c r="DM94" s="315"/>
      <c r="DN94" s="315"/>
      <c r="DO94" s="315"/>
      <c r="DP94" s="315"/>
      <c r="DQ94" s="330"/>
      <c r="DR94" s="318"/>
      <c r="DS94" s="319"/>
      <c r="DT94" s="318"/>
      <c r="DU94" s="315"/>
      <c r="DV94" s="635"/>
      <c r="DW94" s="318"/>
      <c r="DX94" s="315"/>
      <c r="DY94" s="319"/>
      <c r="DZ94" s="318"/>
      <c r="EA94" s="315"/>
      <c r="EB94" s="315"/>
      <c r="EC94" s="315"/>
      <c r="ED94" s="330"/>
      <c r="EE94" s="318"/>
      <c r="EF94" s="319"/>
      <c r="EG94" s="326"/>
      <c r="EH94" s="315"/>
      <c r="EI94" s="635"/>
      <c r="EJ94" s="318"/>
      <c r="EK94" s="315"/>
      <c r="EL94" s="635"/>
      <c r="EM94" s="189"/>
      <c r="EN94" s="636"/>
      <c r="EO94" s="637"/>
      <c r="EP94" s="638"/>
      <c r="EQ94" s="315"/>
      <c r="ER94" s="315"/>
      <c r="ES94" s="319"/>
      <c r="ET94" s="639">
        <f t="shared" si="7"/>
        <v>1</v>
      </c>
      <c r="EU94" s="640"/>
      <c r="EV94" s="640">
        <f t="shared" si="8"/>
        <v>0</v>
      </c>
      <c r="EW94" s="640"/>
      <c r="EX94" s="641">
        <f t="shared" si="9"/>
        <v>0</v>
      </c>
    </row>
    <row r="95" spans="1:154" s="363" customFormat="1" ht="20.100000000000001" customHeight="1" x14ac:dyDescent="0.2">
      <c r="A95" s="646" t="s">
        <v>418</v>
      </c>
      <c r="B95" s="578" t="s">
        <v>484</v>
      </c>
      <c r="C95" s="312"/>
      <c r="D95" s="313" t="s">
        <v>485</v>
      </c>
      <c r="E95" s="312"/>
      <c r="F95" s="580" t="s">
        <v>486</v>
      </c>
      <c r="G95" s="581"/>
      <c r="H95" s="582" t="s">
        <v>487</v>
      </c>
      <c r="I95" s="627"/>
      <c r="J95" s="314"/>
      <c r="K95" s="315"/>
      <c r="L95" s="628"/>
      <c r="M95" s="629"/>
      <c r="N95" s="316"/>
      <c r="O95" s="317"/>
      <c r="P95" s="318"/>
      <c r="Q95" s="301"/>
      <c r="R95" s="301"/>
      <c r="S95" s="315"/>
      <c r="T95" s="315"/>
      <c r="U95" s="315"/>
      <c r="V95" s="315"/>
      <c r="W95" s="315"/>
      <c r="X95" s="315"/>
      <c r="Y95" s="315"/>
      <c r="Z95" s="315"/>
      <c r="AA95" s="319"/>
      <c r="AB95" s="653"/>
      <c r="AC95" s="650"/>
      <c r="AD95" s="315"/>
      <c r="AE95" s="315"/>
      <c r="AF95" s="315"/>
      <c r="AG95" s="321"/>
      <c r="AH95" s="322" t="str">
        <f t="shared" si="10"/>
        <v/>
      </c>
      <c r="AI95" s="323" t="str">
        <f>IF(ISNUMBER(AH95),100*AH95/(#REF!),"")</f>
        <v/>
      </c>
      <c r="AJ95" s="321"/>
      <c r="AK95" s="315"/>
      <c r="AL95" s="315"/>
      <c r="AM95" s="324"/>
      <c r="AN95" s="325"/>
      <c r="AO95" s="321"/>
      <c r="AP95" s="315"/>
      <c r="AQ95" s="321"/>
      <c r="AR95" s="321"/>
      <c r="AS95" s="339"/>
      <c r="AT95" s="318"/>
      <c r="AU95" s="325"/>
      <c r="AV95" s="325"/>
      <c r="AW95" s="325"/>
      <c r="AX95" s="315"/>
      <c r="AY95" s="321"/>
      <c r="AZ95" s="315"/>
      <c r="BA95" s="315"/>
      <c r="BB95" s="321"/>
      <c r="BC95" s="159"/>
      <c r="BD95" s="326"/>
      <c r="BE95" s="315"/>
      <c r="BF95" s="319"/>
      <c r="BG95" s="320"/>
      <c r="BH95" s="654"/>
      <c r="BI95" s="323"/>
      <c r="BJ95" s="262"/>
      <c r="BK95" s="342"/>
      <c r="BL95" s="320"/>
      <c r="BM95" s="321"/>
      <c r="BN95" s="321"/>
      <c r="BO95" s="321"/>
      <c r="BP95" s="321"/>
      <c r="BQ95" s="327"/>
      <c r="BR95" s="318"/>
      <c r="BS95" s="328"/>
      <c r="BT95" s="329"/>
      <c r="BU95" s="340"/>
      <c r="BV95" s="318"/>
      <c r="BW95" s="315"/>
      <c r="BX95" s="315"/>
      <c r="BY95" s="315"/>
      <c r="BZ95" s="315"/>
      <c r="CA95" s="315"/>
      <c r="CB95" s="315"/>
      <c r="CC95" s="330"/>
      <c r="CD95" s="318"/>
      <c r="CE95" s="315"/>
      <c r="CF95" s="315"/>
      <c r="CG95" s="319"/>
      <c r="CH95" s="318"/>
      <c r="CI95" s="319"/>
      <c r="CJ95" s="326"/>
      <c r="CK95" s="315"/>
      <c r="CL95" s="315"/>
      <c r="CM95" s="319"/>
      <c r="CN95" s="326"/>
      <c r="CO95" s="315"/>
      <c r="CP95" s="315"/>
      <c r="CQ95" s="315"/>
      <c r="CR95" s="319"/>
      <c r="CS95" s="318"/>
      <c r="CT95" s="331"/>
      <c r="CU95" s="655"/>
      <c r="CV95" s="656"/>
      <c r="CW95" s="333"/>
      <c r="CX95" s="334"/>
      <c r="CY95" s="318"/>
      <c r="CZ95" s="315"/>
      <c r="DA95" s="335"/>
      <c r="DB95" s="189"/>
      <c r="DC95" s="336"/>
      <c r="DD95" s="323"/>
      <c r="DE95" s="319"/>
      <c r="DF95" s="318"/>
      <c r="DG95" s="315"/>
      <c r="DH95" s="315"/>
      <c r="DI95" s="632"/>
      <c r="DJ95" s="633"/>
      <c r="DK95" s="318"/>
      <c r="DL95" s="315"/>
      <c r="DM95" s="315"/>
      <c r="DN95" s="315"/>
      <c r="DO95" s="315"/>
      <c r="DP95" s="315"/>
      <c r="DQ95" s="330"/>
      <c r="DR95" s="318"/>
      <c r="DS95" s="319"/>
      <c r="DT95" s="318"/>
      <c r="DU95" s="315"/>
      <c r="DV95" s="635"/>
      <c r="DW95" s="318"/>
      <c r="DX95" s="315"/>
      <c r="DY95" s="319"/>
      <c r="DZ95" s="318"/>
      <c r="EA95" s="315"/>
      <c r="EB95" s="315"/>
      <c r="EC95" s="315"/>
      <c r="ED95" s="330"/>
      <c r="EE95" s="318"/>
      <c r="EF95" s="319"/>
      <c r="EG95" s="326"/>
      <c r="EH95" s="315"/>
      <c r="EI95" s="635"/>
      <c r="EJ95" s="318"/>
      <c r="EK95" s="315"/>
      <c r="EL95" s="635"/>
      <c r="EM95" s="189"/>
      <c r="EN95" s="636"/>
      <c r="EO95" s="637"/>
      <c r="EP95" s="638"/>
      <c r="EQ95" s="315"/>
      <c r="ER95" s="315"/>
      <c r="ES95" s="319"/>
      <c r="ET95" s="639">
        <f t="shared" si="7"/>
        <v>1</v>
      </c>
      <c r="EU95" s="640"/>
      <c r="EV95" s="640">
        <f t="shared" si="8"/>
        <v>0</v>
      </c>
      <c r="EW95" s="640"/>
      <c r="EX95" s="641">
        <f t="shared" si="9"/>
        <v>0</v>
      </c>
    </row>
    <row r="96" spans="1:154" s="363" customFormat="1" ht="20.100000000000001" customHeight="1" x14ac:dyDescent="0.2">
      <c r="A96" s="646" t="s">
        <v>419</v>
      </c>
      <c r="B96" s="578" t="s">
        <v>484</v>
      </c>
      <c r="C96" s="312"/>
      <c r="D96" s="313" t="s">
        <v>485</v>
      </c>
      <c r="E96" s="312"/>
      <c r="F96" s="580" t="s">
        <v>486</v>
      </c>
      <c r="G96" s="581"/>
      <c r="H96" s="582" t="s">
        <v>487</v>
      </c>
      <c r="I96" s="627"/>
      <c r="J96" s="314"/>
      <c r="K96" s="315"/>
      <c r="L96" s="628"/>
      <c r="M96" s="629"/>
      <c r="N96" s="316"/>
      <c r="O96" s="317"/>
      <c r="P96" s="318"/>
      <c r="Q96" s="301"/>
      <c r="R96" s="301"/>
      <c r="S96" s="315"/>
      <c r="T96" s="315"/>
      <c r="U96" s="315"/>
      <c r="V96" s="315"/>
      <c r="W96" s="315"/>
      <c r="X96" s="315"/>
      <c r="Y96" s="315"/>
      <c r="Z96" s="315"/>
      <c r="AA96" s="319"/>
      <c r="AB96" s="653"/>
      <c r="AC96" s="650"/>
      <c r="AD96" s="315"/>
      <c r="AE96" s="315"/>
      <c r="AF96" s="315"/>
      <c r="AG96" s="321"/>
      <c r="AH96" s="322" t="str">
        <f t="shared" si="10"/>
        <v/>
      </c>
      <c r="AI96" s="323" t="str">
        <f>IF(ISNUMBER(AH96),100*AH96/(#REF!),"")</f>
        <v/>
      </c>
      <c r="AJ96" s="321"/>
      <c r="AK96" s="315"/>
      <c r="AL96" s="315"/>
      <c r="AM96" s="324"/>
      <c r="AN96" s="325"/>
      <c r="AO96" s="321"/>
      <c r="AP96" s="315"/>
      <c r="AQ96" s="321"/>
      <c r="AR96" s="321"/>
      <c r="AS96" s="339"/>
      <c r="AT96" s="318"/>
      <c r="AU96" s="325"/>
      <c r="AV96" s="325"/>
      <c r="AW96" s="325"/>
      <c r="AX96" s="315"/>
      <c r="AY96" s="321"/>
      <c r="AZ96" s="315"/>
      <c r="BA96" s="315"/>
      <c r="BB96" s="321"/>
      <c r="BC96" s="159"/>
      <c r="BD96" s="326"/>
      <c r="BE96" s="315"/>
      <c r="BF96" s="319"/>
      <c r="BG96" s="320"/>
      <c r="BH96" s="654"/>
      <c r="BI96" s="323"/>
      <c r="BJ96" s="262"/>
      <c r="BK96" s="342"/>
      <c r="BL96" s="320"/>
      <c r="BM96" s="321"/>
      <c r="BN96" s="321"/>
      <c r="BO96" s="321"/>
      <c r="BP96" s="321"/>
      <c r="BQ96" s="327"/>
      <c r="BR96" s="318"/>
      <c r="BS96" s="328"/>
      <c r="BT96" s="329"/>
      <c r="BU96" s="340"/>
      <c r="BV96" s="318"/>
      <c r="BW96" s="315"/>
      <c r="BX96" s="315"/>
      <c r="BY96" s="315"/>
      <c r="BZ96" s="315"/>
      <c r="CA96" s="315"/>
      <c r="CB96" s="315"/>
      <c r="CC96" s="330"/>
      <c r="CD96" s="318"/>
      <c r="CE96" s="315"/>
      <c r="CF96" s="315"/>
      <c r="CG96" s="319"/>
      <c r="CH96" s="318"/>
      <c r="CI96" s="319"/>
      <c r="CJ96" s="326"/>
      <c r="CK96" s="315"/>
      <c r="CL96" s="315"/>
      <c r="CM96" s="319"/>
      <c r="CN96" s="326"/>
      <c r="CO96" s="315"/>
      <c r="CP96" s="315"/>
      <c r="CQ96" s="315"/>
      <c r="CR96" s="319"/>
      <c r="CS96" s="318"/>
      <c r="CT96" s="331"/>
      <c r="CU96" s="655"/>
      <c r="CV96" s="656"/>
      <c r="CW96" s="333"/>
      <c r="CX96" s="334"/>
      <c r="CY96" s="318"/>
      <c r="CZ96" s="315"/>
      <c r="DA96" s="335"/>
      <c r="DB96" s="189"/>
      <c r="DC96" s="336"/>
      <c r="DD96" s="323"/>
      <c r="DE96" s="319"/>
      <c r="DF96" s="318"/>
      <c r="DG96" s="315"/>
      <c r="DH96" s="315"/>
      <c r="DI96" s="632"/>
      <c r="DJ96" s="633"/>
      <c r="DK96" s="318"/>
      <c r="DL96" s="315"/>
      <c r="DM96" s="315"/>
      <c r="DN96" s="315"/>
      <c r="DO96" s="315"/>
      <c r="DP96" s="315"/>
      <c r="DQ96" s="330"/>
      <c r="DR96" s="318"/>
      <c r="DS96" s="319"/>
      <c r="DT96" s="318"/>
      <c r="DU96" s="315"/>
      <c r="DV96" s="635"/>
      <c r="DW96" s="318"/>
      <c r="DX96" s="315"/>
      <c r="DY96" s="319"/>
      <c r="DZ96" s="318"/>
      <c r="EA96" s="315"/>
      <c r="EB96" s="315"/>
      <c r="EC96" s="315"/>
      <c r="ED96" s="330"/>
      <c r="EE96" s="318"/>
      <c r="EF96" s="319"/>
      <c r="EG96" s="326"/>
      <c r="EH96" s="315"/>
      <c r="EI96" s="635"/>
      <c r="EJ96" s="318"/>
      <c r="EK96" s="315"/>
      <c r="EL96" s="635"/>
      <c r="EM96" s="189"/>
      <c r="EN96" s="636"/>
      <c r="EO96" s="637"/>
      <c r="EP96" s="638"/>
      <c r="EQ96" s="315"/>
      <c r="ER96" s="315"/>
      <c r="ES96" s="319"/>
      <c r="ET96" s="639">
        <f t="shared" si="7"/>
        <v>1</v>
      </c>
      <c r="EU96" s="640"/>
      <c r="EV96" s="640">
        <f t="shared" si="8"/>
        <v>0</v>
      </c>
      <c r="EW96" s="640"/>
      <c r="EX96" s="641">
        <f t="shared" si="9"/>
        <v>0</v>
      </c>
    </row>
    <row r="97" spans="1:154" s="363" customFormat="1" ht="20.100000000000001" customHeight="1" x14ac:dyDescent="0.2">
      <c r="A97" s="646" t="s">
        <v>420</v>
      </c>
      <c r="B97" s="578" t="s">
        <v>484</v>
      </c>
      <c r="C97" s="312"/>
      <c r="D97" s="313" t="s">
        <v>485</v>
      </c>
      <c r="E97" s="312"/>
      <c r="F97" s="580" t="s">
        <v>486</v>
      </c>
      <c r="G97" s="581"/>
      <c r="H97" s="582" t="s">
        <v>487</v>
      </c>
      <c r="I97" s="627"/>
      <c r="J97" s="314"/>
      <c r="K97" s="315"/>
      <c r="L97" s="628"/>
      <c r="M97" s="629"/>
      <c r="N97" s="316"/>
      <c r="O97" s="317"/>
      <c r="P97" s="318"/>
      <c r="Q97" s="301"/>
      <c r="R97" s="301"/>
      <c r="S97" s="315"/>
      <c r="T97" s="315"/>
      <c r="U97" s="315"/>
      <c r="V97" s="315"/>
      <c r="W97" s="315"/>
      <c r="X97" s="315"/>
      <c r="Y97" s="315"/>
      <c r="Z97" s="315"/>
      <c r="AA97" s="319"/>
      <c r="AB97" s="653"/>
      <c r="AC97" s="650"/>
      <c r="AD97" s="315"/>
      <c r="AE97" s="315"/>
      <c r="AF97" s="315"/>
      <c r="AG97" s="321"/>
      <c r="AH97" s="322" t="str">
        <f t="shared" si="10"/>
        <v/>
      </c>
      <c r="AI97" s="323" t="str">
        <f>IF(ISNUMBER(AH97),100*AH97/(#REF!),"")</f>
        <v/>
      </c>
      <c r="AJ97" s="321"/>
      <c r="AK97" s="315"/>
      <c r="AL97" s="315"/>
      <c r="AM97" s="324"/>
      <c r="AN97" s="325"/>
      <c r="AO97" s="321"/>
      <c r="AP97" s="315"/>
      <c r="AQ97" s="321"/>
      <c r="AR97" s="321"/>
      <c r="AS97" s="339"/>
      <c r="AT97" s="318"/>
      <c r="AU97" s="325"/>
      <c r="AV97" s="325"/>
      <c r="AW97" s="325"/>
      <c r="AX97" s="315"/>
      <c r="AY97" s="321"/>
      <c r="AZ97" s="315"/>
      <c r="BA97" s="315"/>
      <c r="BB97" s="321"/>
      <c r="BC97" s="159"/>
      <c r="BD97" s="326"/>
      <c r="BE97" s="315"/>
      <c r="BF97" s="319"/>
      <c r="BG97" s="320"/>
      <c r="BH97" s="654"/>
      <c r="BI97" s="323"/>
      <c r="BJ97" s="262"/>
      <c r="BK97" s="342"/>
      <c r="BL97" s="320"/>
      <c r="BM97" s="321"/>
      <c r="BN97" s="321"/>
      <c r="BO97" s="321"/>
      <c r="BP97" s="321"/>
      <c r="BQ97" s="327"/>
      <c r="BR97" s="318"/>
      <c r="BS97" s="328"/>
      <c r="BT97" s="329"/>
      <c r="BU97" s="340"/>
      <c r="BV97" s="318"/>
      <c r="BW97" s="315"/>
      <c r="BX97" s="315"/>
      <c r="BY97" s="315"/>
      <c r="BZ97" s="315"/>
      <c r="CA97" s="315"/>
      <c r="CB97" s="315"/>
      <c r="CC97" s="330"/>
      <c r="CD97" s="318"/>
      <c r="CE97" s="315"/>
      <c r="CF97" s="315"/>
      <c r="CG97" s="319"/>
      <c r="CH97" s="318"/>
      <c r="CI97" s="319"/>
      <c r="CJ97" s="326"/>
      <c r="CK97" s="315"/>
      <c r="CL97" s="315"/>
      <c r="CM97" s="319"/>
      <c r="CN97" s="326"/>
      <c r="CO97" s="315"/>
      <c r="CP97" s="315"/>
      <c r="CQ97" s="315"/>
      <c r="CR97" s="319"/>
      <c r="CS97" s="318"/>
      <c r="CT97" s="331"/>
      <c r="CU97" s="655"/>
      <c r="CV97" s="656"/>
      <c r="CW97" s="333"/>
      <c r="CX97" s="334"/>
      <c r="CY97" s="318"/>
      <c r="CZ97" s="315"/>
      <c r="DA97" s="335"/>
      <c r="DB97" s="189"/>
      <c r="DC97" s="336"/>
      <c r="DD97" s="323"/>
      <c r="DE97" s="319"/>
      <c r="DF97" s="318"/>
      <c r="DG97" s="315"/>
      <c r="DH97" s="315"/>
      <c r="DI97" s="632"/>
      <c r="DJ97" s="633"/>
      <c r="DK97" s="318"/>
      <c r="DL97" s="315"/>
      <c r="DM97" s="315"/>
      <c r="DN97" s="315"/>
      <c r="DO97" s="315"/>
      <c r="DP97" s="315"/>
      <c r="DQ97" s="330"/>
      <c r="DR97" s="318"/>
      <c r="DS97" s="319"/>
      <c r="DT97" s="318"/>
      <c r="DU97" s="315"/>
      <c r="DV97" s="635"/>
      <c r="DW97" s="318"/>
      <c r="DX97" s="315"/>
      <c r="DY97" s="319"/>
      <c r="DZ97" s="318"/>
      <c r="EA97" s="315"/>
      <c r="EB97" s="315"/>
      <c r="EC97" s="315"/>
      <c r="ED97" s="330"/>
      <c r="EE97" s="318"/>
      <c r="EF97" s="319"/>
      <c r="EG97" s="326"/>
      <c r="EH97" s="315"/>
      <c r="EI97" s="635"/>
      <c r="EJ97" s="318"/>
      <c r="EK97" s="315"/>
      <c r="EL97" s="635"/>
      <c r="EM97" s="189"/>
      <c r="EN97" s="636"/>
      <c r="EO97" s="637"/>
      <c r="EP97" s="638"/>
      <c r="EQ97" s="315"/>
      <c r="ER97" s="315"/>
      <c r="ES97" s="319"/>
      <c r="ET97" s="639">
        <f t="shared" si="7"/>
        <v>1</v>
      </c>
      <c r="EU97" s="640"/>
      <c r="EV97" s="640">
        <f t="shared" si="8"/>
        <v>0</v>
      </c>
      <c r="EW97" s="640"/>
      <c r="EX97" s="641">
        <f t="shared" si="9"/>
        <v>0</v>
      </c>
    </row>
    <row r="98" spans="1:154" s="363" customFormat="1" ht="20.100000000000001" customHeight="1" x14ac:dyDescent="0.2">
      <c r="A98" s="646" t="s">
        <v>421</v>
      </c>
      <c r="B98" s="578" t="s">
        <v>484</v>
      </c>
      <c r="C98" s="312"/>
      <c r="D98" s="313" t="s">
        <v>485</v>
      </c>
      <c r="E98" s="312"/>
      <c r="F98" s="580" t="s">
        <v>486</v>
      </c>
      <c r="G98" s="581"/>
      <c r="H98" s="582" t="s">
        <v>487</v>
      </c>
      <c r="I98" s="627"/>
      <c r="J98" s="314"/>
      <c r="K98" s="315"/>
      <c r="L98" s="628"/>
      <c r="M98" s="629"/>
      <c r="N98" s="316"/>
      <c r="O98" s="317"/>
      <c r="P98" s="318"/>
      <c r="Q98" s="301"/>
      <c r="R98" s="301"/>
      <c r="S98" s="315"/>
      <c r="T98" s="315"/>
      <c r="U98" s="315"/>
      <c r="V98" s="315"/>
      <c r="W98" s="315"/>
      <c r="X98" s="315"/>
      <c r="Y98" s="315"/>
      <c r="Z98" s="315"/>
      <c r="AA98" s="319"/>
      <c r="AB98" s="653"/>
      <c r="AC98" s="650"/>
      <c r="AD98" s="315"/>
      <c r="AE98" s="315"/>
      <c r="AF98" s="315"/>
      <c r="AG98" s="321"/>
      <c r="AH98" s="322" t="str">
        <f t="shared" si="10"/>
        <v/>
      </c>
      <c r="AI98" s="323" t="str">
        <f>IF(ISNUMBER(AH98),100*AH98/(#REF!),"")</f>
        <v/>
      </c>
      <c r="AJ98" s="321"/>
      <c r="AK98" s="315"/>
      <c r="AL98" s="315"/>
      <c r="AM98" s="324"/>
      <c r="AN98" s="325"/>
      <c r="AO98" s="321"/>
      <c r="AP98" s="315"/>
      <c r="AQ98" s="321"/>
      <c r="AR98" s="321"/>
      <c r="AS98" s="339"/>
      <c r="AT98" s="318"/>
      <c r="AU98" s="325"/>
      <c r="AV98" s="325"/>
      <c r="AW98" s="325"/>
      <c r="AX98" s="315"/>
      <c r="AY98" s="321"/>
      <c r="AZ98" s="315"/>
      <c r="BA98" s="315"/>
      <c r="BB98" s="321"/>
      <c r="BC98" s="159"/>
      <c r="BD98" s="326"/>
      <c r="BE98" s="315"/>
      <c r="BF98" s="319"/>
      <c r="BG98" s="320"/>
      <c r="BH98" s="654"/>
      <c r="BI98" s="323"/>
      <c r="BJ98" s="262"/>
      <c r="BK98" s="342"/>
      <c r="BL98" s="320"/>
      <c r="BM98" s="321"/>
      <c r="BN98" s="321"/>
      <c r="BO98" s="321"/>
      <c r="BP98" s="321"/>
      <c r="BQ98" s="327"/>
      <c r="BR98" s="318"/>
      <c r="BS98" s="328"/>
      <c r="BT98" s="329"/>
      <c r="BU98" s="340"/>
      <c r="BV98" s="318"/>
      <c r="BW98" s="315"/>
      <c r="BX98" s="315"/>
      <c r="BY98" s="315"/>
      <c r="BZ98" s="315"/>
      <c r="CA98" s="315"/>
      <c r="CB98" s="315"/>
      <c r="CC98" s="330"/>
      <c r="CD98" s="318"/>
      <c r="CE98" s="315"/>
      <c r="CF98" s="315"/>
      <c r="CG98" s="319"/>
      <c r="CH98" s="318"/>
      <c r="CI98" s="319"/>
      <c r="CJ98" s="326"/>
      <c r="CK98" s="315"/>
      <c r="CL98" s="315"/>
      <c r="CM98" s="319"/>
      <c r="CN98" s="326"/>
      <c r="CO98" s="315"/>
      <c r="CP98" s="315"/>
      <c r="CQ98" s="315"/>
      <c r="CR98" s="319"/>
      <c r="CS98" s="318"/>
      <c r="CT98" s="331"/>
      <c r="CU98" s="655"/>
      <c r="CV98" s="656"/>
      <c r="CW98" s="333"/>
      <c r="CX98" s="334"/>
      <c r="CY98" s="318"/>
      <c r="CZ98" s="315"/>
      <c r="DA98" s="335"/>
      <c r="DB98" s="189"/>
      <c r="DC98" s="336"/>
      <c r="DD98" s="323"/>
      <c r="DE98" s="319"/>
      <c r="DF98" s="318"/>
      <c r="DG98" s="315"/>
      <c r="DH98" s="315"/>
      <c r="DI98" s="632"/>
      <c r="DJ98" s="633"/>
      <c r="DK98" s="318"/>
      <c r="DL98" s="315"/>
      <c r="DM98" s="315"/>
      <c r="DN98" s="315"/>
      <c r="DO98" s="315"/>
      <c r="DP98" s="315"/>
      <c r="DQ98" s="330"/>
      <c r="DR98" s="318"/>
      <c r="DS98" s="319"/>
      <c r="DT98" s="318"/>
      <c r="DU98" s="315"/>
      <c r="DV98" s="635"/>
      <c r="DW98" s="318"/>
      <c r="DX98" s="315"/>
      <c r="DY98" s="319"/>
      <c r="DZ98" s="318"/>
      <c r="EA98" s="315"/>
      <c r="EB98" s="315"/>
      <c r="EC98" s="315"/>
      <c r="ED98" s="330"/>
      <c r="EE98" s="318"/>
      <c r="EF98" s="319"/>
      <c r="EG98" s="326"/>
      <c r="EH98" s="315"/>
      <c r="EI98" s="635"/>
      <c r="EJ98" s="318"/>
      <c r="EK98" s="315"/>
      <c r="EL98" s="635"/>
      <c r="EM98" s="189"/>
      <c r="EN98" s="636"/>
      <c r="EO98" s="637"/>
      <c r="EP98" s="638"/>
      <c r="EQ98" s="315"/>
      <c r="ER98" s="315"/>
      <c r="ES98" s="319"/>
      <c r="ET98" s="639">
        <f t="shared" si="7"/>
        <v>1</v>
      </c>
      <c r="EU98" s="640"/>
      <c r="EV98" s="640">
        <f t="shared" si="8"/>
        <v>0</v>
      </c>
      <c r="EW98" s="640"/>
      <c r="EX98" s="641">
        <f t="shared" si="9"/>
        <v>0</v>
      </c>
    </row>
    <row r="99" spans="1:154" s="363" customFormat="1" ht="20.100000000000001" customHeight="1" x14ac:dyDescent="0.2">
      <c r="A99" s="646" t="s">
        <v>422</v>
      </c>
      <c r="B99" s="578" t="s">
        <v>484</v>
      </c>
      <c r="C99" s="312"/>
      <c r="D99" s="313" t="s">
        <v>485</v>
      </c>
      <c r="E99" s="312"/>
      <c r="F99" s="580" t="s">
        <v>486</v>
      </c>
      <c r="G99" s="581"/>
      <c r="H99" s="582" t="s">
        <v>487</v>
      </c>
      <c r="I99" s="627"/>
      <c r="J99" s="314"/>
      <c r="K99" s="315"/>
      <c r="L99" s="628"/>
      <c r="M99" s="629"/>
      <c r="N99" s="316"/>
      <c r="O99" s="317"/>
      <c r="P99" s="318"/>
      <c r="Q99" s="301"/>
      <c r="R99" s="301"/>
      <c r="S99" s="315"/>
      <c r="T99" s="315"/>
      <c r="U99" s="315"/>
      <c r="V99" s="315"/>
      <c r="W99" s="315"/>
      <c r="X99" s="315"/>
      <c r="Y99" s="315"/>
      <c r="Z99" s="315"/>
      <c r="AA99" s="319"/>
      <c r="AB99" s="653"/>
      <c r="AC99" s="650"/>
      <c r="AD99" s="315"/>
      <c r="AE99" s="315"/>
      <c r="AF99" s="315"/>
      <c r="AG99" s="321"/>
      <c r="AH99" s="322" t="str">
        <f t="shared" si="10"/>
        <v/>
      </c>
      <c r="AI99" s="323" t="str">
        <f>IF(ISNUMBER(AH99),100*AH99/(#REF!),"")</f>
        <v/>
      </c>
      <c r="AJ99" s="321"/>
      <c r="AK99" s="315"/>
      <c r="AL99" s="315"/>
      <c r="AM99" s="324"/>
      <c r="AN99" s="325"/>
      <c r="AO99" s="321"/>
      <c r="AP99" s="315"/>
      <c r="AQ99" s="321"/>
      <c r="AR99" s="321"/>
      <c r="AS99" s="339"/>
      <c r="AT99" s="318"/>
      <c r="AU99" s="325"/>
      <c r="AV99" s="325"/>
      <c r="AW99" s="325"/>
      <c r="AX99" s="315"/>
      <c r="AY99" s="321"/>
      <c r="AZ99" s="315"/>
      <c r="BA99" s="315"/>
      <c r="BB99" s="321"/>
      <c r="BC99" s="159"/>
      <c r="BD99" s="326"/>
      <c r="BE99" s="315"/>
      <c r="BF99" s="319"/>
      <c r="BG99" s="320"/>
      <c r="BH99" s="654"/>
      <c r="BI99" s="323"/>
      <c r="BJ99" s="262"/>
      <c r="BK99" s="342"/>
      <c r="BL99" s="320"/>
      <c r="BM99" s="321"/>
      <c r="BN99" s="321"/>
      <c r="BO99" s="321"/>
      <c r="BP99" s="321"/>
      <c r="BQ99" s="327"/>
      <c r="BR99" s="318"/>
      <c r="BS99" s="328"/>
      <c r="BT99" s="329"/>
      <c r="BU99" s="340"/>
      <c r="BV99" s="318"/>
      <c r="BW99" s="315"/>
      <c r="BX99" s="315"/>
      <c r="BY99" s="315"/>
      <c r="BZ99" s="315"/>
      <c r="CA99" s="315"/>
      <c r="CB99" s="315"/>
      <c r="CC99" s="330"/>
      <c r="CD99" s="318"/>
      <c r="CE99" s="315"/>
      <c r="CF99" s="315"/>
      <c r="CG99" s="319"/>
      <c r="CH99" s="318"/>
      <c r="CI99" s="319"/>
      <c r="CJ99" s="326"/>
      <c r="CK99" s="315"/>
      <c r="CL99" s="315"/>
      <c r="CM99" s="319"/>
      <c r="CN99" s="326"/>
      <c r="CO99" s="315"/>
      <c r="CP99" s="315"/>
      <c r="CQ99" s="315"/>
      <c r="CR99" s="319"/>
      <c r="CS99" s="318"/>
      <c r="CT99" s="331"/>
      <c r="CU99" s="655"/>
      <c r="CV99" s="656"/>
      <c r="CW99" s="333"/>
      <c r="CX99" s="334"/>
      <c r="CY99" s="318"/>
      <c r="CZ99" s="315"/>
      <c r="DA99" s="335"/>
      <c r="DB99" s="189"/>
      <c r="DC99" s="336"/>
      <c r="DD99" s="323"/>
      <c r="DE99" s="319"/>
      <c r="DF99" s="318"/>
      <c r="DG99" s="315"/>
      <c r="DH99" s="315"/>
      <c r="DI99" s="632"/>
      <c r="DJ99" s="633"/>
      <c r="DK99" s="318"/>
      <c r="DL99" s="315"/>
      <c r="DM99" s="315"/>
      <c r="DN99" s="315"/>
      <c r="DO99" s="315"/>
      <c r="DP99" s="315"/>
      <c r="DQ99" s="330"/>
      <c r="DR99" s="318"/>
      <c r="DS99" s="319"/>
      <c r="DT99" s="318"/>
      <c r="DU99" s="315"/>
      <c r="DV99" s="635"/>
      <c r="DW99" s="318"/>
      <c r="DX99" s="315"/>
      <c r="DY99" s="319"/>
      <c r="DZ99" s="318"/>
      <c r="EA99" s="315"/>
      <c r="EB99" s="315"/>
      <c r="EC99" s="315"/>
      <c r="ED99" s="330"/>
      <c r="EE99" s="318"/>
      <c r="EF99" s="319"/>
      <c r="EG99" s="326"/>
      <c r="EH99" s="315"/>
      <c r="EI99" s="635"/>
      <c r="EJ99" s="318"/>
      <c r="EK99" s="315"/>
      <c r="EL99" s="635"/>
      <c r="EM99" s="189"/>
      <c r="EN99" s="636"/>
      <c r="EO99" s="637"/>
      <c r="EP99" s="638"/>
      <c r="EQ99" s="315"/>
      <c r="ER99" s="315"/>
      <c r="ES99" s="319"/>
      <c r="ET99" s="639">
        <f t="shared" si="7"/>
        <v>1</v>
      </c>
      <c r="EU99" s="640"/>
      <c r="EV99" s="640">
        <f t="shared" si="8"/>
        <v>0</v>
      </c>
      <c r="EW99" s="640"/>
      <c r="EX99" s="641">
        <f t="shared" si="9"/>
        <v>0</v>
      </c>
    </row>
    <row r="100" spans="1:154" s="363" customFormat="1" ht="20.100000000000001" customHeight="1" thickBot="1" x14ac:dyDescent="0.25">
      <c r="A100" s="657" t="s">
        <v>423</v>
      </c>
      <c r="B100" s="578" t="s">
        <v>484</v>
      </c>
      <c r="C100" s="312"/>
      <c r="D100" s="313" t="s">
        <v>485</v>
      </c>
      <c r="E100" s="312"/>
      <c r="F100" s="580" t="s">
        <v>486</v>
      </c>
      <c r="G100" s="581"/>
      <c r="H100" s="582" t="s">
        <v>487</v>
      </c>
      <c r="I100" s="658"/>
      <c r="J100" s="659"/>
      <c r="K100" s="660"/>
      <c r="L100" s="661"/>
      <c r="M100" s="662"/>
      <c r="N100" s="663"/>
      <c r="O100" s="664"/>
      <c r="P100" s="665"/>
      <c r="Q100" s="666"/>
      <c r="R100" s="666"/>
      <c r="S100" s="660"/>
      <c r="T100" s="660"/>
      <c r="U100" s="660"/>
      <c r="V100" s="660"/>
      <c r="W100" s="660"/>
      <c r="X100" s="660"/>
      <c r="Y100" s="660"/>
      <c r="Z100" s="660"/>
      <c r="AA100" s="667"/>
      <c r="AB100" s="668"/>
      <c r="AC100" s="669"/>
      <c r="AD100" s="660"/>
      <c r="AE100" s="660"/>
      <c r="AF100" s="660"/>
      <c r="AG100" s="670"/>
      <c r="AH100" s="671" t="str">
        <f t="shared" si="10"/>
        <v/>
      </c>
      <c r="AI100" s="672" t="str">
        <f>IF(ISNUMBER(AH100),100*AH100/(#REF!),"")</f>
        <v/>
      </c>
      <c r="AJ100" s="670"/>
      <c r="AK100" s="660"/>
      <c r="AL100" s="660"/>
      <c r="AM100" s="673"/>
      <c r="AN100" s="674"/>
      <c r="AO100" s="670"/>
      <c r="AP100" s="660"/>
      <c r="AQ100" s="670"/>
      <c r="AR100" s="670"/>
      <c r="AS100" s="675"/>
      <c r="AT100" s="665"/>
      <c r="AU100" s="674"/>
      <c r="AV100" s="674"/>
      <c r="AW100" s="674"/>
      <c r="AX100" s="660"/>
      <c r="AY100" s="670"/>
      <c r="AZ100" s="660"/>
      <c r="BA100" s="660"/>
      <c r="BB100" s="670"/>
      <c r="BC100" s="156"/>
      <c r="BD100" s="676"/>
      <c r="BE100" s="660"/>
      <c r="BF100" s="667"/>
      <c r="BG100" s="677"/>
      <c r="BH100" s="678"/>
      <c r="BI100" s="679"/>
      <c r="BJ100" s="680"/>
      <c r="BK100" s="681"/>
      <c r="BL100" s="677"/>
      <c r="BM100" s="670"/>
      <c r="BN100" s="670"/>
      <c r="BO100" s="670"/>
      <c r="BP100" s="670"/>
      <c r="BQ100" s="682"/>
      <c r="BR100" s="665"/>
      <c r="BS100" s="683"/>
      <c r="BT100" s="684"/>
      <c r="BU100" s="685"/>
      <c r="BV100" s="665"/>
      <c r="BW100" s="660"/>
      <c r="BX100" s="660"/>
      <c r="BY100" s="660"/>
      <c r="BZ100" s="660"/>
      <c r="CA100" s="660"/>
      <c r="CB100" s="660"/>
      <c r="CC100" s="686"/>
      <c r="CD100" s="665"/>
      <c r="CE100" s="660"/>
      <c r="CF100" s="660"/>
      <c r="CG100" s="667"/>
      <c r="CH100" s="665"/>
      <c r="CI100" s="667"/>
      <c r="CJ100" s="676"/>
      <c r="CK100" s="660"/>
      <c r="CL100" s="660"/>
      <c r="CM100" s="667"/>
      <c r="CN100" s="676"/>
      <c r="CO100" s="660"/>
      <c r="CP100" s="660"/>
      <c r="CQ100" s="660"/>
      <c r="CR100" s="667"/>
      <c r="CS100" s="665"/>
      <c r="CT100" s="687"/>
      <c r="CU100" s="688"/>
      <c r="CV100" s="689"/>
      <c r="CW100" s="690"/>
      <c r="CX100" s="691"/>
      <c r="CY100" s="665"/>
      <c r="CZ100" s="660"/>
      <c r="DA100" s="692"/>
      <c r="DB100" s="693"/>
      <c r="DC100" s="694"/>
      <c r="DD100" s="679"/>
      <c r="DE100" s="667"/>
      <c r="DF100" s="665"/>
      <c r="DG100" s="660"/>
      <c r="DH100" s="660"/>
      <c r="DI100" s="695"/>
      <c r="DJ100" s="696"/>
      <c r="DK100" s="665"/>
      <c r="DL100" s="660"/>
      <c r="DM100" s="660"/>
      <c r="DN100" s="660"/>
      <c r="DO100" s="660"/>
      <c r="DP100" s="660"/>
      <c r="DQ100" s="686"/>
      <c r="DR100" s="665"/>
      <c r="DS100" s="667"/>
      <c r="DT100" s="665"/>
      <c r="DU100" s="660"/>
      <c r="DV100" s="697"/>
      <c r="DW100" s="665"/>
      <c r="DX100" s="660"/>
      <c r="DY100" s="667"/>
      <c r="DZ100" s="665"/>
      <c r="EA100" s="660"/>
      <c r="EB100" s="660"/>
      <c r="EC100" s="660"/>
      <c r="ED100" s="686"/>
      <c r="EE100" s="665"/>
      <c r="EF100" s="667"/>
      <c r="EG100" s="676"/>
      <c r="EH100" s="660"/>
      <c r="EI100" s="697"/>
      <c r="EJ100" s="665"/>
      <c r="EK100" s="660"/>
      <c r="EL100" s="697"/>
      <c r="EM100" s="698"/>
      <c r="EN100" s="699"/>
      <c r="EO100" s="700"/>
      <c r="EP100" s="701"/>
      <c r="EQ100" s="702"/>
      <c r="ER100" s="702"/>
      <c r="ES100" s="703"/>
      <c r="ET100" s="704">
        <f t="shared" si="7"/>
        <v>1</v>
      </c>
      <c r="EU100" s="705"/>
      <c r="EV100" s="705">
        <f t="shared" si="8"/>
        <v>0</v>
      </c>
      <c r="EW100" s="705"/>
      <c r="EX100" s="706">
        <f t="shared" si="9"/>
        <v>0</v>
      </c>
    </row>
    <row r="101" spans="1:154" ht="20.100000000000001" customHeight="1" x14ac:dyDescent="0.2">
      <c r="A101" s="707"/>
      <c r="B101" s="708"/>
      <c r="C101" s="709"/>
      <c r="D101" s="710"/>
      <c r="E101" s="709"/>
      <c r="F101" s="711"/>
      <c r="G101" s="712"/>
      <c r="H101" s="713"/>
      <c r="I101" s="714"/>
      <c r="J101" s="715"/>
      <c r="K101" s="716"/>
      <c r="L101" s="710"/>
      <c r="M101" s="717"/>
      <c r="N101" s="718"/>
      <c r="O101" s="719"/>
      <c r="P101" s="720"/>
      <c r="Q101" s="721"/>
      <c r="R101" s="721"/>
      <c r="S101" s="720"/>
      <c r="T101" s="720"/>
      <c r="U101" s="720"/>
      <c r="V101" s="720"/>
      <c r="W101" s="720"/>
      <c r="X101" s="720"/>
      <c r="Y101" s="716"/>
      <c r="Z101" s="720"/>
      <c r="AA101" s="720"/>
      <c r="AB101" s="710"/>
      <c r="AC101" s="720"/>
      <c r="AD101" s="720"/>
      <c r="AE101" s="720"/>
      <c r="AF101" s="720"/>
      <c r="AG101" s="722"/>
      <c r="AH101" s="722"/>
      <c r="AI101" s="716"/>
      <c r="AJ101" s="722"/>
      <c r="AK101" s="720"/>
      <c r="AL101" s="720"/>
      <c r="AM101" s="723"/>
      <c r="AN101" s="717"/>
      <c r="AO101" s="710"/>
      <c r="AP101" s="716"/>
      <c r="AQ101" s="722"/>
      <c r="AR101" s="722"/>
      <c r="AS101" s="710"/>
      <c r="AT101" s="720"/>
      <c r="AU101" s="717"/>
      <c r="AV101" s="724"/>
      <c r="AW101" s="724"/>
      <c r="AX101" s="720"/>
      <c r="AY101" s="722"/>
      <c r="AZ101" s="720"/>
      <c r="BA101" s="720"/>
      <c r="BB101" s="710"/>
      <c r="BC101" s="725"/>
      <c r="BD101" s="716"/>
      <c r="BE101" s="716"/>
      <c r="BF101" s="716"/>
      <c r="BG101" s="722"/>
      <c r="BH101" s="722"/>
      <c r="BI101" s="716"/>
      <c r="BJ101" s="726"/>
      <c r="BK101" s="726"/>
      <c r="BL101" s="722"/>
      <c r="BM101" s="722"/>
      <c r="BN101" s="722"/>
      <c r="BO101" s="722"/>
      <c r="BP101" s="722"/>
      <c r="BQ101" s="722"/>
      <c r="BR101" s="716"/>
      <c r="BS101" s="716"/>
      <c r="BT101" s="716"/>
      <c r="BU101" s="717"/>
      <c r="BV101" s="727"/>
      <c r="BW101" s="720"/>
      <c r="BX101" s="720"/>
      <c r="BY101" s="720"/>
      <c r="BZ101" s="720"/>
      <c r="CA101" s="720"/>
      <c r="CB101" s="720"/>
      <c r="CC101" s="442"/>
      <c r="CD101" s="720"/>
      <c r="CE101" s="720"/>
      <c r="CF101" s="720"/>
      <c r="CG101" s="720"/>
      <c r="CH101" s="720"/>
      <c r="CI101" s="720"/>
      <c r="CJ101" s="720"/>
      <c r="CK101" s="720"/>
      <c r="CL101" s="720"/>
      <c r="CM101" s="720"/>
      <c r="CN101" s="720"/>
      <c r="CO101" s="720"/>
      <c r="CP101" s="720"/>
      <c r="CQ101" s="720"/>
      <c r="CR101" s="720"/>
      <c r="CS101" s="720"/>
      <c r="CT101" s="720"/>
      <c r="CU101" s="728"/>
      <c r="CV101" s="720"/>
      <c r="CW101" s="720"/>
      <c r="CX101" s="720"/>
      <c r="CY101" s="720"/>
      <c r="CZ101" s="720"/>
      <c r="DA101" s="720"/>
      <c r="DB101" s="728"/>
      <c r="DC101" s="720"/>
      <c r="DD101" s="720"/>
      <c r="DE101" s="720"/>
      <c r="DF101" s="720"/>
      <c r="DG101" s="720"/>
      <c r="DH101" s="720"/>
      <c r="DI101" s="720"/>
      <c r="DJ101" s="728"/>
      <c r="DK101" s="720"/>
      <c r="DL101" s="720"/>
      <c r="DM101" s="720"/>
      <c r="DN101" s="720"/>
      <c r="DO101" s="720"/>
      <c r="DP101" s="720"/>
      <c r="DQ101" s="720"/>
      <c r="DR101" s="720"/>
      <c r="DS101" s="729"/>
      <c r="DT101" s="720"/>
      <c r="DU101" s="720"/>
      <c r="DV101" s="728"/>
      <c r="DW101" s="720"/>
      <c r="DX101" s="720"/>
      <c r="DY101" s="730"/>
      <c r="DZ101" s="720"/>
      <c r="EA101" s="720"/>
      <c r="EB101" s="720"/>
      <c r="EC101" s="720"/>
      <c r="ED101" s="730"/>
      <c r="EE101" s="720"/>
      <c r="EF101" s="720"/>
      <c r="EG101" s="720"/>
      <c r="EH101" s="720"/>
      <c r="EI101" s="728"/>
      <c r="EJ101" s="720"/>
      <c r="EK101" s="720"/>
      <c r="EL101" s="728"/>
      <c r="EM101" s="728"/>
      <c r="EN101" s="720"/>
      <c r="EO101" s="720"/>
      <c r="EP101" s="720"/>
      <c r="EQ101" s="716"/>
      <c r="ER101" s="716"/>
      <c r="ES101" s="716"/>
      <c r="ET101" s="710"/>
      <c r="EU101" s="710"/>
      <c r="EV101" s="731"/>
      <c r="EW101" s="731"/>
      <c r="EX101" s="732"/>
    </row>
  </sheetData>
  <dataConsolidate/>
  <customSheetViews>
    <customSheetView guid="{18771FCB-E1C6-11D2-A5F8-00C04FCF3989}" scale="75" showPageBreaks="1" showGridLines="0" fitToPage="1" printArea="1" showAutoFilter="1" hiddenColumns="1" showRuler="0">
      <pane xSplit="12" ySplit="9" topLeftCell="M10" activePane="bottomRight" state="frozen"/>
      <selection pane="bottomRight" activeCell="K5" sqref="K5"/>
      <pageMargins left="0.39370078740157499" right="0.39370078740157499" top="0.39370078740157499" bottom="0.39370078740157499" header="0.196850393700787" footer="0.196850393700787"/>
      <pageSetup paperSize="8" scale="11" fitToHeight="0" orientation="landscape" r:id="rId1"/>
      <headerFooter alignWithMargins="0">
        <oddFooter>&amp;CSide &amp;P av &amp;N</oddFooter>
      </headerFooter>
      <autoFilter ref="B1:ES1" xr:uid="{5EF3E292-9590-4271-AAE9-E26FE68634C4}"/>
    </customSheetView>
  </customSheetViews>
  <mergeCells count="11">
    <mergeCell ref="BA4:BA7"/>
    <mergeCell ref="BD4:BD7"/>
    <mergeCell ref="BE4:BE7"/>
    <mergeCell ref="BT4:BT7"/>
    <mergeCell ref="BF4:BF7"/>
    <mergeCell ref="CD4:CD7"/>
    <mergeCell ref="BY5:BY7"/>
    <mergeCell ref="CN5:CN7"/>
    <mergeCell ref="CG4:CG7"/>
    <mergeCell ref="CE4:CE7"/>
    <mergeCell ref="CF4:CF7"/>
  </mergeCells>
  <phoneticPr fontId="0" type="noConversion"/>
  <printOptions gridLinesSet="0"/>
  <pageMargins left="0.39370078740157483" right="0.39370078740157483" top="0" bottom="0.39370078740157483" header="0.19685039370078741" footer="0.19685039370078741"/>
  <pageSetup paperSize="8" scale="15" fitToHeight="0" orientation="landscape" r:id="rId2"/>
  <headerFooter alignWithMargins="0">
    <oddFooter>&amp;CSide &amp;P av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5156" r:id="rId5" name="Button 2084">
              <controlPr defaultSize="0" print="0" autoFill="0" autoPict="0" macro="[0]!Vis_Vis_Avansert">
                <anchor moveWithCells="1" sizeWithCells="1">
                  <from>
                    <xdr:col>8</xdr:col>
                    <xdr:colOff>295275</xdr:colOff>
                    <xdr:row>0</xdr:row>
                    <xdr:rowOff>28575</xdr:rowOff>
                  </from>
                  <to>
                    <xdr:col>11</xdr:col>
                    <xdr:colOff>885825</xdr:colOff>
                    <xdr:row>0</xdr:row>
                    <xdr:rowOff>323850</xdr:rowOff>
                  </to>
                </anchor>
              </controlPr>
            </control>
          </mc:Choice>
        </mc:AlternateContent>
        <mc:AlternateContent xmlns:mc="http://schemas.openxmlformats.org/markup-compatibility/2006">
          <mc:Choice Requires="x14">
            <control shapeId="6741" r:id="rId6" name="Button 3669">
              <controlPr defaultSize="0" print="0" autoFill="0" autoPict="0" macro="[0]!QB_exp_digital">
                <anchor moveWithCells="1" sizeWithCells="1">
                  <from>
                    <xdr:col>79</xdr:col>
                    <xdr:colOff>676275</xdr:colOff>
                    <xdr:row>3</xdr:row>
                    <xdr:rowOff>9525</xdr:rowOff>
                  </from>
                  <to>
                    <xdr:col>80</xdr:col>
                    <xdr:colOff>1600200</xdr:colOff>
                    <xdr:row>4</xdr:row>
                    <xdr:rowOff>104775</xdr:rowOff>
                  </to>
                </anchor>
              </controlPr>
            </control>
          </mc:Choice>
        </mc:AlternateContent>
        <mc:AlternateContent xmlns:mc="http://schemas.openxmlformats.org/markup-compatibility/2006">
          <mc:Choice Requires="x14">
            <control shapeId="6742" r:id="rId7" name="Button 3670">
              <controlPr defaultSize="0" print="0" autoFill="0" autoPict="0" macro="[0]!QB_exp_analog">
                <anchor moveWithCells="1" sizeWithCells="1">
                  <from>
                    <xdr:col>79</xdr:col>
                    <xdr:colOff>676275</xdr:colOff>
                    <xdr:row>4</xdr:row>
                    <xdr:rowOff>114300</xdr:rowOff>
                  </from>
                  <to>
                    <xdr:col>80</xdr:col>
                    <xdr:colOff>1600200</xdr:colOff>
                    <xdr:row>6</xdr:row>
                    <xdr:rowOff>0</xdr:rowOff>
                  </to>
                </anchor>
              </controlPr>
            </control>
          </mc:Choice>
        </mc:AlternateContent>
        <mc:AlternateContent xmlns:mc="http://schemas.openxmlformats.org/markup-compatibility/2006">
          <mc:Choice Requires="x14">
            <control shapeId="8296" r:id="rId8" name="Button 5224">
              <controlPr defaultSize="0" print="0" autoFill="0" autoPict="0" macro="[0]!Vis_Vis_Enkel">
                <anchor moveWithCells="1" sizeWithCells="1">
                  <from>
                    <xdr:col>1</xdr:col>
                    <xdr:colOff>38100</xdr:colOff>
                    <xdr:row>0</xdr:row>
                    <xdr:rowOff>28575</xdr:rowOff>
                  </from>
                  <to>
                    <xdr:col>8</xdr:col>
                    <xdr:colOff>295275</xdr:colOff>
                    <xdr:row>0</xdr:row>
                    <xdr:rowOff>323850</xdr:rowOff>
                  </to>
                </anchor>
              </controlPr>
            </control>
          </mc:Choice>
        </mc:AlternateContent>
        <mc:AlternateContent xmlns:mc="http://schemas.openxmlformats.org/markup-compatibility/2006">
          <mc:Choice Requires="x14">
            <control shapeId="8459" r:id="rId9" name="Button 5387">
              <controlPr defaultSize="0" print="0" autoFill="0" autoPict="0" macro="[0]!main">
                <anchor moveWithCells="1" sizeWithCells="1">
                  <from>
                    <xdr:col>1</xdr:col>
                    <xdr:colOff>57150</xdr:colOff>
                    <xdr:row>1</xdr:row>
                    <xdr:rowOff>647700</xdr:rowOff>
                  </from>
                  <to>
                    <xdr:col>8</xdr:col>
                    <xdr:colOff>314325</xdr:colOff>
                    <xdr:row>3</xdr:row>
                    <xdr:rowOff>85725</xdr:rowOff>
                  </to>
                </anchor>
              </controlPr>
            </control>
          </mc:Choice>
        </mc:AlternateContent>
        <mc:AlternateContent xmlns:mc="http://schemas.openxmlformats.org/markup-compatibility/2006">
          <mc:Choice Requires="x14">
            <control shapeId="8482" r:id="rId10" name="Button 5410">
              <controlPr defaultSize="0" print="0" autoFill="0" autoPict="0" macro="[1]!Vis_Vis_Avansert">
                <anchor moveWithCells="1" sizeWithCells="1">
                  <from>
                    <xdr:col>8</xdr:col>
                    <xdr:colOff>295275</xdr:colOff>
                    <xdr:row>0</xdr:row>
                    <xdr:rowOff>28575</xdr:rowOff>
                  </from>
                  <to>
                    <xdr:col>11</xdr:col>
                    <xdr:colOff>885825</xdr:colOff>
                    <xdr:row>0</xdr:row>
                    <xdr:rowOff>323850</xdr:rowOff>
                  </to>
                </anchor>
              </controlPr>
            </control>
          </mc:Choice>
        </mc:AlternateContent>
        <mc:AlternateContent xmlns:mc="http://schemas.openxmlformats.org/markup-compatibility/2006">
          <mc:Choice Requires="x14">
            <control shapeId="8483" r:id="rId11" name="Button 5411">
              <controlPr defaultSize="0" print="0" autoFill="0" autoPict="0" macro="[1]!QB_exp_digital">
                <anchor moveWithCells="1" sizeWithCells="1">
                  <from>
                    <xdr:col>79</xdr:col>
                    <xdr:colOff>676275</xdr:colOff>
                    <xdr:row>3</xdr:row>
                    <xdr:rowOff>9525</xdr:rowOff>
                  </from>
                  <to>
                    <xdr:col>80</xdr:col>
                    <xdr:colOff>1600200</xdr:colOff>
                    <xdr:row>4</xdr:row>
                    <xdr:rowOff>104775</xdr:rowOff>
                  </to>
                </anchor>
              </controlPr>
            </control>
          </mc:Choice>
        </mc:AlternateContent>
        <mc:AlternateContent xmlns:mc="http://schemas.openxmlformats.org/markup-compatibility/2006">
          <mc:Choice Requires="x14">
            <control shapeId="8484" r:id="rId12" name="Button 5412">
              <controlPr defaultSize="0" print="0" autoFill="0" autoPict="0" macro="[1]!QB_exp_analog">
                <anchor moveWithCells="1" sizeWithCells="1">
                  <from>
                    <xdr:col>79</xdr:col>
                    <xdr:colOff>676275</xdr:colOff>
                    <xdr:row>4</xdr:row>
                    <xdr:rowOff>114300</xdr:rowOff>
                  </from>
                  <to>
                    <xdr:col>80</xdr:col>
                    <xdr:colOff>1600200</xdr:colOff>
                    <xdr:row>6</xdr:row>
                    <xdr:rowOff>0</xdr:rowOff>
                  </to>
                </anchor>
              </controlPr>
            </control>
          </mc:Choice>
        </mc:AlternateContent>
        <mc:AlternateContent xmlns:mc="http://schemas.openxmlformats.org/markup-compatibility/2006">
          <mc:Choice Requires="x14">
            <control shapeId="8485" r:id="rId13" name="Button 5413">
              <controlPr defaultSize="0" print="0" autoFill="0" autoPict="0" macro="[1]!Vis_Vis_Enkel">
                <anchor moveWithCells="1" sizeWithCells="1">
                  <from>
                    <xdr:col>1</xdr:col>
                    <xdr:colOff>38100</xdr:colOff>
                    <xdr:row>0</xdr:row>
                    <xdr:rowOff>28575</xdr:rowOff>
                  </from>
                  <to>
                    <xdr:col>8</xdr:col>
                    <xdr:colOff>295275</xdr:colOff>
                    <xdr:row>0</xdr:row>
                    <xdr:rowOff>323850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G101"/>
  <sheetViews>
    <sheetView workbookViewId="0">
      <selection activeCell="A3" sqref="A3"/>
    </sheetView>
  </sheetViews>
  <sheetFormatPr defaultRowHeight="12.75" x14ac:dyDescent="0.2"/>
  <cols>
    <col min="1" max="1" width="5.140625" style="18" customWidth="1"/>
    <col min="2" max="2" width="9.42578125" style="18" customWidth="1"/>
    <col min="3" max="3" width="11.140625" style="18" customWidth="1"/>
    <col min="4" max="4" width="53.7109375" style="22" customWidth="1"/>
    <col min="5" max="5" width="15.42578125" style="18" customWidth="1"/>
    <col min="6" max="6" width="12.85546875" style="18" customWidth="1"/>
    <col min="7" max="7" width="30.42578125" style="20" customWidth="1"/>
    <col min="8" max="256" width="11.42578125" style="20" customWidth="1"/>
    <col min="257" max="16384" width="9.140625" style="20"/>
  </cols>
  <sheetData>
    <row r="1" spans="1:7" ht="52.5" customHeight="1" thickBot="1" x14ac:dyDescent="0.25">
      <c r="A1" s="754">
        <f ca="1">TODAY()</f>
        <v>45685</v>
      </c>
      <c r="B1" s="755"/>
      <c r="C1" s="26"/>
      <c r="D1" s="60" t="s">
        <v>36</v>
      </c>
      <c r="E1" s="27" t="str">
        <f>Database!$B$3</f>
        <v>{{SiteItem.Title}}</v>
      </c>
      <c r="F1" s="27"/>
      <c r="G1" s="27">
        <f>Database!$K$3</f>
        <v>0</v>
      </c>
    </row>
    <row r="2" spans="1:7" ht="39" thickBot="1" x14ac:dyDescent="0.25">
      <c r="A2" s="28" t="s">
        <v>3</v>
      </c>
      <c r="B2" s="29" t="s">
        <v>21</v>
      </c>
      <c r="C2" s="29" t="s">
        <v>22</v>
      </c>
      <c r="D2" s="29" t="s">
        <v>20</v>
      </c>
      <c r="E2" s="30" t="s">
        <v>0</v>
      </c>
      <c r="F2" s="29" t="s">
        <v>1</v>
      </c>
      <c r="G2" s="31" t="s">
        <v>2</v>
      </c>
    </row>
    <row r="3" spans="1:7" x14ac:dyDescent="0.2">
      <c r="A3" s="21"/>
      <c r="E3" s="23"/>
      <c r="G3" s="24"/>
    </row>
    <row r="4" spans="1:7" x14ac:dyDescent="0.2">
      <c r="E4" s="23"/>
      <c r="F4" s="19"/>
      <c r="G4" s="24"/>
    </row>
    <row r="5" spans="1:7" x14ac:dyDescent="0.2">
      <c r="E5" s="23"/>
      <c r="G5" s="24"/>
    </row>
    <row r="6" spans="1:7" x14ac:dyDescent="0.2">
      <c r="E6" s="23"/>
      <c r="G6" s="24"/>
    </row>
    <row r="7" spans="1:7" x14ac:dyDescent="0.2">
      <c r="D7" s="25"/>
      <c r="E7" s="23"/>
      <c r="F7" s="21"/>
      <c r="G7" s="24"/>
    </row>
    <row r="8" spans="1:7" x14ac:dyDescent="0.2">
      <c r="E8" s="23"/>
      <c r="G8" s="24"/>
    </row>
    <row r="9" spans="1:7" x14ac:dyDescent="0.2">
      <c r="E9" s="23"/>
      <c r="F9" s="21"/>
      <c r="G9" s="24"/>
    </row>
    <row r="10" spans="1:7" x14ac:dyDescent="0.2">
      <c r="E10" s="23"/>
      <c r="G10" s="24"/>
    </row>
    <row r="11" spans="1:7" x14ac:dyDescent="0.2">
      <c r="D11" s="25"/>
      <c r="E11" s="23"/>
      <c r="G11" s="24"/>
    </row>
    <row r="12" spans="1:7" x14ac:dyDescent="0.2">
      <c r="E12" s="23"/>
      <c r="G12" s="24"/>
    </row>
    <row r="13" spans="1:7" x14ac:dyDescent="0.2">
      <c r="C13" s="21"/>
      <c r="E13" s="23"/>
      <c r="G13" s="24"/>
    </row>
    <row r="14" spans="1:7" x14ac:dyDescent="0.2">
      <c r="C14" s="21"/>
      <c r="E14" s="23"/>
      <c r="G14" s="24"/>
    </row>
    <row r="15" spans="1:7" x14ac:dyDescent="0.2">
      <c r="C15" s="21"/>
      <c r="E15" s="23"/>
      <c r="G15" s="24"/>
    </row>
    <row r="16" spans="1:7" x14ac:dyDescent="0.2">
      <c r="C16" s="21"/>
      <c r="E16" s="23"/>
      <c r="G16" s="24"/>
    </row>
    <row r="17" spans="5:7" x14ac:dyDescent="0.2">
      <c r="E17" s="23"/>
      <c r="G17" s="24"/>
    </row>
    <row r="18" spans="5:7" x14ac:dyDescent="0.2">
      <c r="E18" s="23"/>
      <c r="G18" s="24"/>
    </row>
    <row r="19" spans="5:7" x14ac:dyDescent="0.2">
      <c r="E19" s="23"/>
      <c r="G19" s="24"/>
    </row>
    <row r="20" spans="5:7" x14ac:dyDescent="0.2">
      <c r="E20" s="23"/>
      <c r="G20" s="24"/>
    </row>
    <row r="21" spans="5:7" x14ac:dyDescent="0.2">
      <c r="E21" s="23"/>
      <c r="G21" s="24"/>
    </row>
    <row r="22" spans="5:7" x14ac:dyDescent="0.2">
      <c r="E22" s="23"/>
      <c r="G22" s="24"/>
    </row>
    <row r="23" spans="5:7" x14ac:dyDescent="0.2">
      <c r="E23" s="23"/>
      <c r="G23" s="24"/>
    </row>
    <row r="24" spans="5:7" x14ac:dyDescent="0.2">
      <c r="E24" s="23"/>
      <c r="G24" s="24"/>
    </row>
    <row r="25" spans="5:7" x14ac:dyDescent="0.2">
      <c r="E25" s="23"/>
      <c r="G25" s="24"/>
    </row>
    <row r="26" spans="5:7" x14ac:dyDescent="0.2">
      <c r="E26" s="23"/>
      <c r="G26" s="24"/>
    </row>
    <row r="27" spans="5:7" x14ac:dyDescent="0.2">
      <c r="E27" s="23"/>
      <c r="G27" s="24"/>
    </row>
    <row r="28" spans="5:7" x14ac:dyDescent="0.2">
      <c r="E28" s="23"/>
      <c r="G28" s="24"/>
    </row>
    <row r="29" spans="5:7" x14ac:dyDescent="0.2">
      <c r="E29" s="23"/>
      <c r="G29" s="24"/>
    </row>
    <row r="30" spans="5:7" x14ac:dyDescent="0.2">
      <c r="E30" s="23"/>
      <c r="G30" s="24"/>
    </row>
    <row r="31" spans="5:7" x14ac:dyDescent="0.2">
      <c r="E31" s="23"/>
      <c r="G31" s="24"/>
    </row>
    <row r="32" spans="5:7" x14ac:dyDescent="0.2">
      <c r="E32" s="23"/>
      <c r="G32" s="24"/>
    </row>
    <row r="33" spans="4:7" x14ac:dyDescent="0.2">
      <c r="E33" s="23"/>
      <c r="G33" s="24"/>
    </row>
    <row r="34" spans="4:7" x14ac:dyDescent="0.2">
      <c r="E34" s="23"/>
      <c r="G34" s="24"/>
    </row>
    <row r="35" spans="4:7" x14ac:dyDescent="0.2">
      <c r="E35" s="23"/>
      <c r="G35" s="24"/>
    </row>
    <row r="36" spans="4:7" x14ac:dyDescent="0.2">
      <c r="E36" s="21"/>
      <c r="G36" s="24"/>
    </row>
    <row r="37" spans="4:7" x14ac:dyDescent="0.2">
      <c r="E37" s="23"/>
      <c r="G37" s="24"/>
    </row>
    <row r="38" spans="4:7" x14ac:dyDescent="0.2">
      <c r="E38" s="23"/>
      <c r="G38" s="24"/>
    </row>
    <row r="39" spans="4:7" x14ac:dyDescent="0.2">
      <c r="E39" s="23"/>
      <c r="G39" s="24"/>
    </row>
    <row r="40" spans="4:7" x14ac:dyDescent="0.2">
      <c r="D40" s="25"/>
      <c r="E40" s="23"/>
      <c r="G40" s="24"/>
    </row>
    <row r="41" spans="4:7" x14ac:dyDescent="0.2">
      <c r="E41" s="23"/>
      <c r="G41" s="24"/>
    </row>
    <row r="42" spans="4:7" x14ac:dyDescent="0.2">
      <c r="E42" s="23"/>
      <c r="G42" s="24"/>
    </row>
    <row r="43" spans="4:7" x14ac:dyDescent="0.2">
      <c r="E43" s="23"/>
      <c r="G43" s="24"/>
    </row>
    <row r="44" spans="4:7" x14ac:dyDescent="0.2">
      <c r="E44" s="23"/>
      <c r="G44" s="24"/>
    </row>
    <row r="45" spans="4:7" x14ac:dyDescent="0.2">
      <c r="E45" s="23"/>
      <c r="G45" s="24"/>
    </row>
    <row r="46" spans="4:7" x14ac:dyDescent="0.2">
      <c r="E46" s="23"/>
      <c r="G46" s="24"/>
    </row>
    <row r="47" spans="4:7" x14ac:dyDescent="0.2">
      <c r="E47" s="23"/>
      <c r="G47" s="24"/>
    </row>
    <row r="48" spans="4:7" x14ac:dyDescent="0.2">
      <c r="E48" s="23"/>
      <c r="G48" s="24"/>
    </row>
    <row r="49" spans="5:7" x14ac:dyDescent="0.2">
      <c r="E49" s="23"/>
      <c r="G49" s="24"/>
    </row>
    <row r="50" spans="5:7" x14ac:dyDescent="0.2">
      <c r="E50" s="23"/>
      <c r="G50" s="24"/>
    </row>
    <row r="51" spans="5:7" x14ac:dyDescent="0.2">
      <c r="E51" s="23"/>
      <c r="G51" s="24"/>
    </row>
    <row r="52" spans="5:7" x14ac:dyDescent="0.2">
      <c r="E52" s="23"/>
      <c r="G52" s="24"/>
    </row>
    <row r="53" spans="5:7" x14ac:dyDescent="0.2">
      <c r="E53" s="23"/>
      <c r="G53" s="24"/>
    </row>
    <row r="54" spans="5:7" x14ac:dyDescent="0.2">
      <c r="E54" s="23"/>
      <c r="G54" s="24"/>
    </row>
    <row r="55" spans="5:7" x14ac:dyDescent="0.2">
      <c r="E55" s="23"/>
      <c r="G55" s="24"/>
    </row>
    <row r="56" spans="5:7" x14ac:dyDescent="0.2">
      <c r="E56" s="23"/>
      <c r="G56" s="24"/>
    </row>
    <row r="57" spans="5:7" x14ac:dyDescent="0.2">
      <c r="E57" s="23"/>
      <c r="G57" s="24"/>
    </row>
    <row r="58" spans="5:7" x14ac:dyDescent="0.2">
      <c r="E58" s="23"/>
      <c r="G58" s="24"/>
    </row>
    <row r="59" spans="5:7" x14ac:dyDescent="0.2">
      <c r="E59" s="23"/>
      <c r="G59" s="24"/>
    </row>
    <row r="60" spans="5:7" x14ac:dyDescent="0.2">
      <c r="E60" s="23"/>
      <c r="G60" s="24"/>
    </row>
    <row r="61" spans="5:7" x14ac:dyDescent="0.2">
      <c r="E61" s="23"/>
      <c r="G61" s="24"/>
    </row>
    <row r="62" spans="5:7" x14ac:dyDescent="0.2">
      <c r="E62" s="23"/>
      <c r="G62" s="24"/>
    </row>
    <row r="63" spans="5:7" x14ac:dyDescent="0.2">
      <c r="E63" s="23"/>
      <c r="G63" s="24"/>
    </row>
    <row r="64" spans="5:7" x14ac:dyDescent="0.2">
      <c r="E64" s="23"/>
      <c r="G64" s="24"/>
    </row>
    <row r="65" spans="5:7" x14ac:dyDescent="0.2">
      <c r="E65" s="23"/>
      <c r="G65" s="24"/>
    </row>
    <row r="66" spans="5:7" x14ac:dyDescent="0.2">
      <c r="E66" s="23"/>
      <c r="G66" s="24"/>
    </row>
    <row r="67" spans="5:7" x14ac:dyDescent="0.2">
      <c r="E67" s="23"/>
      <c r="G67" s="24"/>
    </row>
    <row r="68" spans="5:7" x14ac:dyDescent="0.2">
      <c r="E68" s="23"/>
      <c r="G68" s="24"/>
    </row>
    <row r="69" spans="5:7" x14ac:dyDescent="0.2">
      <c r="E69" s="23"/>
      <c r="G69" s="24"/>
    </row>
    <row r="70" spans="5:7" x14ac:dyDescent="0.2">
      <c r="E70" s="23"/>
      <c r="G70" s="24"/>
    </row>
    <row r="71" spans="5:7" x14ac:dyDescent="0.2">
      <c r="E71" s="23"/>
      <c r="G71" s="24"/>
    </row>
    <row r="72" spans="5:7" x14ac:dyDescent="0.2">
      <c r="E72" s="23"/>
      <c r="G72" s="24"/>
    </row>
    <row r="73" spans="5:7" x14ac:dyDescent="0.2">
      <c r="E73" s="23"/>
      <c r="G73" s="24"/>
    </row>
    <row r="74" spans="5:7" x14ac:dyDescent="0.2">
      <c r="E74" s="23"/>
      <c r="G74" s="24"/>
    </row>
    <row r="75" spans="5:7" x14ac:dyDescent="0.2">
      <c r="E75" s="23"/>
      <c r="G75" s="24"/>
    </row>
    <row r="76" spans="5:7" x14ac:dyDescent="0.2">
      <c r="E76" s="23"/>
      <c r="G76" s="24"/>
    </row>
    <row r="77" spans="5:7" x14ac:dyDescent="0.2">
      <c r="E77" s="23"/>
      <c r="G77" s="24"/>
    </row>
    <row r="78" spans="5:7" x14ac:dyDescent="0.2">
      <c r="E78" s="23"/>
      <c r="G78" s="24"/>
    </row>
    <row r="79" spans="5:7" x14ac:dyDescent="0.2">
      <c r="E79" s="23"/>
      <c r="G79" s="24"/>
    </row>
    <row r="80" spans="5:7" x14ac:dyDescent="0.2">
      <c r="E80" s="23"/>
      <c r="G80" s="24"/>
    </row>
    <row r="81" spans="5:7" x14ac:dyDescent="0.2">
      <c r="E81" s="23"/>
      <c r="G81" s="24"/>
    </row>
    <row r="82" spans="5:7" x14ac:dyDescent="0.2">
      <c r="E82" s="23"/>
      <c r="G82" s="24"/>
    </row>
    <row r="83" spans="5:7" x14ac:dyDescent="0.2">
      <c r="E83" s="23"/>
      <c r="G83" s="24"/>
    </row>
    <row r="84" spans="5:7" x14ac:dyDescent="0.2">
      <c r="E84" s="23"/>
      <c r="G84" s="24"/>
    </row>
    <row r="85" spans="5:7" x14ac:dyDescent="0.2">
      <c r="E85" s="23"/>
      <c r="G85" s="24"/>
    </row>
    <row r="86" spans="5:7" x14ac:dyDescent="0.2">
      <c r="E86" s="23"/>
      <c r="G86" s="24"/>
    </row>
    <row r="87" spans="5:7" x14ac:dyDescent="0.2">
      <c r="E87" s="23"/>
      <c r="G87" s="24"/>
    </row>
    <row r="88" spans="5:7" x14ac:dyDescent="0.2">
      <c r="G88" s="24"/>
    </row>
    <row r="89" spans="5:7" x14ac:dyDescent="0.2">
      <c r="G89" s="24"/>
    </row>
    <row r="90" spans="5:7" x14ac:dyDescent="0.2">
      <c r="G90" s="24"/>
    </row>
    <row r="91" spans="5:7" x14ac:dyDescent="0.2">
      <c r="G91" s="24"/>
    </row>
    <row r="92" spans="5:7" x14ac:dyDescent="0.2">
      <c r="G92" s="24"/>
    </row>
    <row r="93" spans="5:7" x14ac:dyDescent="0.2">
      <c r="G93" s="24"/>
    </row>
    <row r="94" spans="5:7" x14ac:dyDescent="0.2">
      <c r="G94" s="24"/>
    </row>
    <row r="95" spans="5:7" x14ac:dyDescent="0.2">
      <c r="G95" s="24"/>
    </row>
    <row r="96" spans="5:7" x14ac:dyDescent="0.2">
      <c r="G96" s="24"/>
    </row>
    <row r="97" spans="7:7" x14ac:dyDescent="0.2">
      <c r="G97" s="24"/>
    </row>
    <row r="98" spans="7:7" x14ac:dyDescent="0.2">
      <c r="G98" s="24"/>
    </row>
    <row r="99" spans="7:7" x14ac:dyDescent="0.2">
      <c r="G99" s="24"/>
    </row>
    <row r="100" spans="7:7" x14ac:dyDescent="0.2">
      <c r="G100" s="24"/>
    </row>
    <row r="101" spans="7:7" x14ac:dyDescent="0.2">
      <c r="G101" s="24"/>
    </row>
  </sheetData>
  <customSheetViews>
    <customSheetView guid="{18771FCB-E1C6-11D2-A5F8-00C04FCF3989}" showRuler="0">
      <selection activeCell="A2" sqref="A2"/>
      <pageMargins left="0.74803149606299213" right="0.74803149606299213" top="0.98425196850393704" bottom="0.98425196850393704" header="0.51181102362204722" footer="0.51181102362204722"/>
      <printOptions gridLines="1"/>
      <pageSetup paperSize="9" orientation="landscape" r:id="rId1"/>
      <headerFooter alignWithMargins="0">
        <oddFooter>&amp;CSide &amp;P/&amp;N</oddFooter>
      </headerFooter>
    </customSheetView>
  </customSheetViews>
  <mergeCells count="1">
    <mergeCell ref="A1:B1"/>
  </mergeCells>
  <phoneticPr fontId="0" type="noConversion"/>
  <printOptions gridLines="1" gridLinesSet="0"/>
  <pageMargins left="0.74803149606299213" right="0.74803149606299213" top="0.98425196850393704" bottom="0.98425196850393704" header="0.51181102362204722" footer="0.51181102362204722"/>
  <pageSetup paperSize="9" scale="96" orientation="landscape" r:id="rId2"/>
  <headerFooter alignWithMargins="0">
    <oddHeader>&amp;C&amp;16Revisjonsoversikt</oddHeader>
    <oddFooter>&amp;CSide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E36"/>
  <sheetViews>
    <sheetView workbookViewId="0">
      <selection activeCell="D13" sqref="D13"/>
    </sheetView>
  </sheetViews>
  <sheetFormatPr defaultRowHeight="12.75" x14ac:dyDescent="0.2"/>
  <cols>
    <col min="1" max="1" width="9.28515625" customWidth="1"/>
    <col min="2" max="2" width="27.7109375" customWidth="1"/>
    <col min="3" max="3" width="17.5703125" customWidth="1"/>
    <col min="4" max="4" width="16.42578125" customWidth="1"/>
    <col min="5" max="5" width="19" customWidth="1"/>
    <col min="6" max="256" width="11.42578125" customWidth="1"/>
  </cols>
  <sheetData>
    <row r="1" spans="1:5" ht="51" customHeight="1" x14ac:dyDescent="0.2">
      <c r="A1" s="757" t="s">
        <v>36</v>
      </c>
      <c r="B1" s="758"/>
      <c r="C1" s="758"/>
      <c r="D1" s="758"/>
      <c r="E1" s="758"/>
    </row>
    <row r="2" spans="1:5" ht="29.25" customHeight="1" thickBot="1" x14ac:dyDescent="0.25">
      <c r="B2" s="17"/>
    </row>
    <row r="3" spans="1:5" s="5" customFormat="1" ht="15.75" x14ac:dyDescent="0.25">
      <c r="A3" s="39" t="str">
        <f>Database!B3</f>
        <v>{{SiteItem.Title}}</v>
      </c>
      <c r="B3" s="40"/>
      <c r="C3" s="40">
        <f>Database!K3</f>
        <v>0</v>
      </c>
      <c r="D3" s="41"/>
    </row>
    <row r="4" spans="1:5" s="5" customFormat="1" ht="15.75" x14ac:dyDescent="0.25">
      <c r="A4" s="42" t="str">
        <f>Database!B4</f>
        <v>{{SiteItem.SiteNo}}</v>
      </c>
      <c r="B4" s="43"/>
      <c r="C4" s="43" t="str">
        <f>Database!K4</f>
        <v>Kontrakt:</v>
      </c>
      <c r="D4" s="44">
        <f>Database!L4</f>
        <v>0</v>
      </c>
    </row>
    <row r="5" spans="1:5" s="5" customFormat="1" ht="16.5" thickBot="1" x14ac:dyDescent="0.3">
      <c r="A5" s="45" t="str">
        <f>Database!B5</f>
        <v>Dato:</v>
      </c>
      <c r="B5" s="46">
        <f ca="1">Database!G5</f>
        <v>45685</v>
      </c>
      <c r="C5" s="47" t="str">
        <f>Database!K5</f>
        <v>Rev:</v>
      </c>
      <c r="D5" s="48">
        <f>Database!L5</f>
        <v>0</v>
      </c>
    </row>
    <row r="6" spans="1:5" s="5" customFormat="1" ht="15.75" x14ac:dyDescent="0.25">
      <c r="A6" s="43"/>
      <c r="B6" s="49"/>
      <c r="C6" s="43"/>
      <c r="D6" s="50"/>
    </row>
    <row r="8" spans="1:5" ht="23.25" x14ac:dyDescent="0.35">
      <c r="A8" s="756" t="s">
        <v>23</v>
      </c>
      <c r="B8" s="756"/>
      <c r="C8" s="756"/>
      <c r="D8" s="756"/>
      <c r="E8" s="756"/>
    </row>
    <row r="9" spans="1:5" ht="23.25" x14ac:dyDescent="0.35">
      <c r="A9" s="4"/>
      <c r="B9" s="4"/>
      <c r="C9" s="4"/>
      <c r="D9" s="4"/>
    </row>
    <row r="10" spans="1:5" s="34" customFormat="1" ht="20.25" x14ac:dyDescent="0.3">
      <c r="A10" s="52" t="s">
        <v>34</v>
      </c>
      <c r="B10" s="33"/>
      <c r="C10" s="33"/>
      <c r="D10" s="33"/>
    </row>
    <row r="11" spans="1:5" ht="15.75" x14ac:dyDescent="0.25">
      <c r="A11" s="5"/>
      <c r="B11" s="5"/>
      <c r="C11" s="7" t="s">
        <v>4</v>
      </c>
      <c r="D11" s="3" t="s">
        <v>32</v>
      </c>
      <c r="E11" s="1"/>
    </row>
    <row r="12" spans="1:5" ht="6" customHeight="1" x14ac:dyDescent="0.25">
      <c r="A12" s="5"/>
      <c r="B12" s="5"/>
      <c r="C12" s="7"/>
      <c r="D12" s="3"/>
      <c r="E12" s="1"/>
    </row>
    <row r="13" spans="1:5" ht="20.100000000000001" customHeight="1" x14ac:dyDescent="0.2">
      <c r="A13" s="5" t="s">
        <v>5</v>
      </c>
      <c r="B13" s="5"/>
      <c r="C13" s="53">
        <v>0.15</v>
      </c>
      <c r="D13" s="54">
        <f>Database!$DA$5</f>
        <v>0</v>
      </c>
      <c r="E13" s="2"/>
    </row>
    <row r="14" spans="1:5" ht="20.100000000000001" customHeight="1" x14ac:dyDescent="0.2">
      <c r="A14" s="5" t="s">
        <v>6</v>
      </c>
      <c r="B14" s="5"/>
      <c r="C14" s="53">
        <v>0.25</v>
      </c>
      <c r="D14" s="54">
        <f>Database!$DI$5</f>
        <v>0</v>
      </c>
      <c r="E14" s="2"/>
    </row>
    <row r="15" spans="1:5" ht="20.100000000000001" customHeight="1" x14ac:dyDescent="0.2">
      <c r="A15" s="5" t="s">
        <v>7</v>
      </c>
      <c r="B15" s="5"/>
      <c r="C15" s="53">
        <v>0.25</v>
      </c>
      <c r="D15" s="54">
        <f>Database!$DU$5</f>
        <v>0</v>
      </c>
      <c r="E15" s="2"/>
    </row>
    <row r="16" spans="1:5" ht="20.100000000000001" customHeight="1" x14ac:dyDescent="0.2">
      <c r="A16" s="5" t="s">
        <v>8</v>
      </c>
      <c r="B16" s="5"/>
      <c r="C16" s="53">
        <v>0.25</v>
      </c>
      <c r="D16" s="54">
        <f>Database!$EH$5</f>
        <v>0</v>
      </c>
      <c r="E16" s="2"/>
    </row>
    <row r="17" spans="1:5" ht="20.100000000000001" customHeight="1" x14ac:dyDescent="0.2">
      <c r="A17" s="5" t="s">
        <v>9</v>
      </c>
      <c r="B17" s="5"/>
      <c r="C17" s="53">
        <v>0.1</v>
      </c>
      <c r="D17" s="54">
        <f>Database!$EK$5</f>
        <v>0</v>
      </c>
      <c r="E17" s="2"/>
    </row>
    <row r="18" spans="1:5" ht="6" customHeight="1" x14ac:dyDescent="0.2">
      <c r="C18" s="55"/>
      <c r="D18" s="7"/>
    </row>
    <row r="19" spans="1:5" s="5" customFormat="1" ht="24" customHeight="1" x14ac:dyDescent="0.2">
      <c r="A19" s="51" t="s">
        <v>35</v>
      </c>
      <c r="B19" s="51"/>
      <c r="C19" s="56">
        <f>SUM(C13:C18)</f>
        <v>1</v>
      </c>
      <c r="D19" s="57">
        <f>D13*C13+D14*C14+D15*C15+D16*C16+D17*C17</f>
        <v>0</v>
      </c>
    </row>
    <row r="27" spans="1:5" s="8" customFormat="1" ht="20.100000000000001" customHeight="1" x14ac:dyDescent="0.25">
      <c r="C27" s="10" t="s">
        <v>29</v>
      </c>
      <c r="D27" s="10" t="s">
        <v>33</v>
      </c>
      <c r="E27" s="10" t="s">
        <v>30</v>
      </c>
    </row>
    <row r="28" spans="1:5" s="8" customFormat="1" ht="20.100000000000001" customHeight="1" x14ac:dyDescent="0.25"/>
    <row r="29" spans="1:5" s="5" customFormat="1" ht="20.100000000000001" customHeight="1" x14ac:dyDescent="0.25">
      <c r="A29" s="8" t="s">
        <v>28</v>
      </c>
      <c r="C29" s="36">
        <f>Database!$EX$4</f>
        <v>0</v>
      </c>
      <c r="D29" s="37">
        <f>D19</f>
        <v>0</v>
      </c>
      <c r="E29" s="35">
        <f>C29*D29</f>
        <v>0</v>
      </c>
    </row>
    <row r="30" spans="1:5" s="5" customFormat="1" ht="20.100000000000001" customHeight="1" x14ac:dyDescent="0.25">
      <c r="A30" s="8" t="s">
        <v>24</v>
      </c>
      <c r="C30" s="36">
        <f>Database!$EV$4</f>
        <v>0</v>
      </c>
      <c r="D30" s="37" t="e">
        <f>E30/C30</f>
        <v>#DIV/0!</v>
      </c>
      <c r="E30" s="35">
        <v>0</v>
      </c>
    </row>
    <row r="31" spans="1:5" s="5" customFormat="1" ht="20.100000000000001" customHeight="1" x14ac:dyDescent="0.25">
      <c r="A31" s="8" t="s">
        <v>25</v>
      </c>
      <c r="C31" s="36">
        <f>Database!$EW$4+Database!$EW$5</f>
        <v>0</v>
      </c>
      <c r="D31" s="37" t="e">
        <f>E31/C31</f>
        <v>#DIV/0!</v>
      </c>
      <c r="E31" s="35">
        <v>0</v>
      </c>
    </row>
    <row r="32" spans="1:5" s="5" customFormat="1" ht="20.100000000000001" customHeight="1" x14ac:dyDescent="0.25">
      <c r="A32" s="8" t="s">
        <v>26</v>
      </c>
      <c r="C32" s="36">
        <v>0</v>
      </c>
      <c r="D32" s="37">
        <v>0</v>
      </c>
      <c r="E32" s="35">
        <f>C32*D32</f>
        <v>0</v>
      </c>
    </row>
    <row r="33" spans="1:5" s="5" customFormat="1" ht="20.100000000000001" customHeight="1" x14ac:dyDescent="0.25">
      <c r="A33" s="8" t="s">
        <v>27</v>
      </c>
      <c r="C33" s="36">
        <v>0</v>
      </c>
      <c r="D33" s="37">
        <v>0</v>
      </c>
      <c r="E33" s="35">
        <f>C33*D33</f>
        <v>0</v>
      </c>
    </row>
    <row r="34" spans="1:5" s="8" customFormat="1" ht="20.100000000000001" customHeight="1" x14ac:dyDescent="0.25">
      <c r="C34" s="58"/>
      <c r="D34" s="59"/>
      <c r="E34" s="35"/>
    </row>
    <row r="35" spans="1:5" s="8" customFormat="1" ht="20.100000000000001" customHeight="1" thickBot="1" x14ac:dyDescent="0.3">
      <c r="A35" s="6" t="s">
        <v>31</v>
      </c>
      <c r="B35" s="6"/>
      <c r="C35" s="32">
        <f>SUM(C29:C33)</f>
        <v>0</v>
      </c>
      <c r="D35" s="38" t="e">
        <f>E35/C35</f>
        <v>#DIV/0!</v>
      </c>
      <c r="E35" s="32">
        <f>SUM(E29:E33)</f>
        <v>0</v>
      </c>
    </row>
    <row r="36" spans="1:5" ht="13.5" thickTop="1" x14ac:dyDescent="0.2"/>
  </sheetData>
  <customSheetViews>
    <customSheetView guid="{18771FCB-E1C6-11D2-A5F8-00C04FCF3989}" scale="75" showRuler="0">
      <selection activeCell="D19" sqref="D19"/>
      <pageMargins left="0.74803149606299213" right="0.74803149606299213" top="0.98425196850393704" bottom="0.98425196850393704" header="0.51181102362204722" footer="0.51181102362204722"/>
      <printOptions horizontalCentered="1"/>
      <pageSetup paperSize="9" orientation="portrait" horizontalDpi="360" verticalDpi="360" r:id="rId1"/>
      <headerFooter alignWithMargins="0"/>
    </customSheetView>
  </customSheetViews>
  <mergeCells count="2">
    <mergeCell ref="A8:E8"/>
    <mergeCell ref="A1:E1"/>
  </mergeCells>
  <phoneticPr fontId="0" type="noConversion"/>
  <printOptions horizontalCentered="1"/>
  <pageMargins left="0.74803149606299213" right="0.74803149606299213" top="0.98425196850393704" bottom="0.98425196850393704" header="0.51181102362204722" footer="0.51181102362204722"/>
  <pageSetup paperSize="9" scale="97" orientation="portrait" horizontalDpi="360" verticalDpi="360" r:id="rId2"/>
  <headerFooter alignWithMargins="0"/>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B18"/>
  <sheetViews>
    <sheetView workbookViewId="0">
      <selection activeCell="D14" sqref="D14"/>
    </sheetView>
  </sheetViews>
  <sheetFormatPr defaultRowHeight="15" x14ac:dyDescent="0.2"/>
  <cols>
    <col min="1" max="1" width="13.7109375" style="5" customWidth="1"/>
    <col min="2" max="2" width="92.85546875" style="5" bestFit="1" customWidth="1"/>
    <col min="3" max="256" width="11.42578125" style="5" customWidth="1"/>
    <col min="257" max="16384" width="9.140625" style="5"/>
  </cols>
  <sheetData>
    <row r="2" spans="1:2" ht="18" x14ac:dyDescent="0.25">
      <c r="A2" s="14" t="s">
        <v>10</v>
      </c>
      <c r="B2" s="15"/>
    </row>
    <row r="3" spans="1:2" ht="18" x14ac:dyDescent="0.25">
      <c r="A3" s="8"/>
      <c r="B3" s="8"/>
    </row>
    <row r="4" spans="1:2" ht="18" x14ac:dyDescent="0.25">
      <c r="A4" s="9" t="s">
        <v>11</v>
      </c>
      <c r="B4" s="8" t="s">
        <v>14</v>
      </c>
    </row>
    <row r="5" spans="1:2" ht="18" x14ac:dyDescent="0.25">
      <c r="A5" s="10"/>
      <c r="B5" s="8"/>
    </row>
    <row r="6" spans="1:2" ht="18" x14ac:dyDescent="0.25">
      <c r="A6" s="16" t="s">
        <v>17</v>
      </c>
      <c r="B6" s="8" t="s">
        <v>16</v>
      </c>
    </row>
    <row r="7" spans="1:2" ht="18" x14ac:dyDescent="0.25">
      <c r="A7" s="10"/>
      <c r="B7" s="8"/>
    </row>
    <row r="8" spans="1:2" ht="22.5" x14ac:dyDescent="0.45">
      <c r="A8" s="11" t="s">
        <v>53</v>
      </c>
      <c r="B8" s="8" t="s">
        <v>51</v>
      </c>
    </row>
    <row r="9" spans="1:2" ht="18" x14ac:dyDescent="0.25">
      <c r="A9" s="10"/>
      <c r="B9" s="8"/>
    </row>
    <row r="10" spans="1:2" ht="18" x14ac:dyDescent="0.25">
      <c r="A10" s="12" t="s">
        <v>13</v>
      </c>
      <c r="B10" s="8" t="s">
        <v>19</v>
      </c>
    </row>
    <row r="11" spans="1:2" ht="18" x14ac:dyDescent="0.25">
      <c r="A11" s="10"/>
      <c r="B11" s="8"/>
    </row>
    <row r="12" spans="1:2" ht="18" x14ac:dyDescent="0.25">
      <c r="A12" s="13" t="s">
        <v>15</v>
      </c>
      <c r="B12" s="8" t="s">
        <v>18</v>
      </c>
    </row>
    <row r="13" spans="1:2" ht="18" x14ac:dyDescent="0.25">
      <c r="A13" s="10"/>
      <c r="B13" s="8"/>
    </row>
    <row r="14" spans="1:2" ht="18" x14ac:dyDescent="0.25">
      <c r="A14" s="310" t="s">
        <v>12</v>
      </c>
      <c r="B14" s="8" t="s">
        <v>49</v>
      </c>
    </row>
    <row r="15" spans="1:2" ht="18" customHeight="1" x14ac:dyDescent="0.2"/>
    <row r="16" spans="1:2" ht="18" customHeight="1" x14ac:dyDescent="0.25">
      <c r="A16" s="311" t="s">
        <v>52</v>
      </c>
      <c r="B16" s="8" t="s">
        <v>50</v>
      </c>
    </row>
    <row r="17" ht="18" customHeight="1" x14ac:dyDescent="0.2"/>
    <row r="18" ht="18" customHeight="1" x14ac:dyDescent="0.2"/>
  </sheetData>
  <customSheetViews>
    <customSheetView guid="{18771FCB-E1C6-11D2-A5F8-00C04FCF3989}" showRuler="0">
      <selection activeCell="C4" sqref="C4"/>
      <pageMargins left="0.75" right="0.75" top="1" bottom="1" header="0.5" footer="0.5"/>
      <headerFooter alignWithMargins="0"/>
    </customSheetView>
  </customSheetViews>
  <phoneticPr fontId="0" type="noConversion"/>
  <pageMargins left="0.75" right="0.75" top="1" bottom="1" header="0.5" footer="0.5"/>
  <pageSetup paperSize="9"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1"/>
  <dimension ref="A1:A10"/>
  <sheetViews>
    <sheetView workbookViewId="0">
      <selection activeCell="E21" sqref="E21"/>
    </sheetView>
  </sheetViews>
  <sheetFormatPr defaultRowHeight="12.75" x14ac:dyDescent="0.2"/>
  <cols>
    <col min="1" max="256" width="11.42578125" customWidth="1"/>
  </cols>
  <sheetData>
    <row r="1" spans="1:1" x14ac:dyDescent="0.2">
      <c r="A1" s="140" t="s">
        <v>42</v>
      </c>
    </row>
    <row r="2" spans="1:1" x14ac:dyDescent="0.2">
      <c r="A2" s="306" t="s">
        <v>47</v>
      </c>
    </row>
    <row r="3" spans="1:1" x14ac:dyDescent="0.2">
      <c r="A3" t="s">
        <v>43</v>
      </c>
    </row>
    <row r="4" spans="1:1" x14ac:dyDescent="0.2">
      <c r="A4" t="s">
        <v>44</v>
      </c>
    </row>
    <row r="5" spans="1:1" x14ac:dyDescent="0.2">
      <c r="A5" t="s">
        <v>45</v>
      </c>
    </row>
    <row r="6" spans="1:1" x14ac:dyDescent="0.2">
      <c r="A6" t="s">
        <v>40</v>
      </c>
    </row>
    <row r="7" spans="1:1" x14ac:dyDescent="0.2">
      <c r="A7" s="140" t="s">
        <v>41</v>
      </c>
    </row>
    <row r="8" spans="1:1" x14ac:dyDescent="0.2">
      <c r="A8" t="s">
        <v>48</v>
      </c>
    </row>
    <row r="10" spans="1:1" x14ac:dyDescent="0.2">
      <c r="A10" t="s">
        <v>46</v>
      </c>
    </row>
  </sheetData>
  <phoneticPr fontId="29"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C2B7E-7423-4FB3-8DD5-B09BE72B5931}">
  <sheetPr codeName="Sheet6"/>
  <dimension ref="A1:D20"/>
  <sheetViews>
    <sheetView workbookViewId="0">
      <selection activeCell="D18" sqref="D18"/>
    </sheetView>
  </sheetViews>
  <sheetFormatPr defaultRowHeight="12.75" x14ac:dyDescent="0.2"/>
  <cols>
    <col min="4" max="4" width="78.42578125" customWidth="1"/>
  </cols>
  <sheetData>
    <row r="1" spans="1:4" x14ac:dyDescent="0.2">
      <c r="A1" s="343" t="s">
        <v>54</v>
      </c>
      <c r="B1" s="343" t="s">
        <v>55</v>
      </c>
      <c r="C1" s="343" t="s">
        <v>56</v>
      </c>
      <c r="D1" s="343" t="s">
        <v>57</v>
      </c>
    </row>
    <row r="2" spans="1:4" x14ac:dyDescent="0.2">
      <c r="A2">
        <v>0</v>
      </c>
      <c r="B2">
        <v>1</v>
      </c>
      <c r="C2">
        <v>0</v>
      </c>
      <c r="D2" s="343" t="s">
        <v>59</v>
      </c>
    </row>
    <row r="3" spans="1:4" x14ac:dyDescent="0.2">
      <c r="A3">
        <v>0</v>
      </c>
      <c r="B3">
        <v>2</v>
      </c>
      <c r="C3">
        <v>0</v>
      </c>
      <c r="D3" s="343" t="s">
        <v>60</v>
      </c>
    </row>
    <row r="4" spans="1:4" x14ac:dyDescent="0.2">
      <c r="A4">
        <v>0</v>
      </c>
      <c r="B4">
        <v>3</v>
      </c>
      <c r="C4">
        <v>0</v>
      </c>
      <c r="D4" s="343" t="s">
        <v>58</v>
      </c>
    </row>
    <row r="13" spans="1:4" x14ac:dyDescent="0.2">
      <c r="D13" s="344"/>
    </row>
    <row r="14" spans="1:4" x14ac:dyDescent="0.2">
      <c r="D14" s="343"/>
    </row>
    <row r="15" spans="1:4" x14ac:dyDescent="0.2">
      <c r="D15" s="343"/>
    </row>
    <row r="17" spans="4:4" x14ac:dyDescent="0.2">
      <c r="D17" s="343"/>
    </row>
    <row r="18" spans="4:4" x14ac:dyDescent="0.2">
      <c r="D18" s="343"/>
    </row>
    <row r="19" spans="4:4" x14ac:dyDescent="0.2">
      <c r="D19" s="343"/>
    </row>
    <row r="20" spans="4:4" x14ac:dyDescent="0.2">
      <c r="D20" s="34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DB419-6177-4F36-A62F-F68E7D27AA05}">
  <sheetPr codeName="Sheet8"/>
  <dimension ref="A2:A731"/>
  <sheetViews>
    <sheetView zoomScale="160" zoomScaleNormal="160" workbookViewId="0">
      <selection activeCell="A2" sqref="A2"/>
    </sheetView>
  </sheetViews>
  <sheetFormatPr defaultRowHeight="12.75" x14ac:dyDescent="0.2"/>
  <cols>
    <col min="1" max="1" width="130.7109375" bestFit="1" customWidth="1"/>
  </cols>
  <sheetData>
    <row r="2" spans="1:1" x14ac:dyDescent="0.2">
      <c r="A2" t="s">
        <v>61</v>
      </c>
    </row>
    <row r="3" spans="1:1" x14ac:dyDescent="0.2">
      <c r="A3" t="s">
        <v>62</v>
      </c>
    </row>
    <row r="4" spans="1:1" x14ac:dyDescent="0.2">
      <c r="A4" t="s">
        <v>61</v>
      </c>
    </row>
    <row r="5" spans="1:1" x14ac:dyDescent="0.2">
      <c r="A5" t="s">
        <v>61</v>
      </c>
    </row>
    <row r="6" spans="1:1" x14ac:dyDescent="0.2">
      <c r="A6" t="s">
        <v>61</v>
      </c>
    </row>
    <row r="7" spans="1:1" x14ac:dyDescent="0.2">
      <c r="A7" t="s">
        <v>61</v>
      </c>
    </row>
    <row r="8" spans="1:1" x14ac:dyDescent="0.2">
      <c r="A8" t="s">
        <v>61</v>
      </c>
    </row>
    <row r="9" spans="1:1" x14ac:dyDescent="0.2">
      <c r="A9" t="s">
        <v>61</v>
      </c>
    </row>
    <row r="10" spans="1:1" x14ac:dyDescent="0.2">
      <c r="A10" t="s">
        <v>62</v>
      </c>
    </row>
    <row r="11" spans="1:1" x14ac:dyDescent="0.2">
      <c r="A11" t="s">
        <v>61</v>
      </c>
    </row>
    <row r="12" spans="1:1" x14ac:dyDescent="0.2">
      <c r="A12" t="s">
        <v>61</v>
      </c>
    </row>
    <row r="13" spans="1:1" x14ac:dyDescent="0.2">
      <c r="A13" t="s">
        <v>61</v>
      </c>
    </row>
    <row r="14" spans="1:1" x14ac:dyDescent="0.2">
      <c r="A14" t="s">
        <v>61</v>
      </c>
    </row>
    <row r="15" spans="1:1" x14ac:dyDescent="0.2">
      <c r="A15" t="s">
        <v>62</v>
      </c>
    </row>
    <row r="16" spans="1:1" x14ac:dyDescent="0.2">
      <c r="A16" t="s">
        <v>61</v>
      </c>
    </row>
    <row r="17" spans="1:1" x14ac:dyDescent="0.2">
      <c r="A17" t="s">
        <v>63</v>
      </c>
    </row>
    <row r="18" spans="1:1" x14ac:dyDescent="0.2">
      <c r="A18" t="s">
        <v>64</v>
      </c>
    </row>
    <row r="19" spans="1:1" x14ac:dyDescent="0.2">
      <c r="A19" t="s">
        <v>64</v>
      </c>
    </row>
    <row r="20" spans="1:1" x14ac:dyDescent="0.2">
      <c r="A20" t="s">
        <v>64</v>
      </c>
    </row>
    <row r="21" spans="1:1" x14ac:dyDescent="0.2">
      <c r="A21" t="s">
        <v>63</v>
      </c>
    </row>
    <row r="22" spans="1:1" x14ac:dyDescent="0.2">
      <c r="A22" t="s">
        <v>63</v>
      </c>
    </row>
    <row r="23" spans="1:1" x14ac:dyDescent="0.2">
      <c r="A23" t="s">
        <v>63</v>
      </c>
    </row>
    <row r="24" spans="1:1" x14ac:dyDescent="0.2">
      <c r="A24" t="s">
        <v>63</v>
      </c>
    </row>
    <row r="25" spans="1:1" x14ac:dyDescent="0.2">
      <c r="A25" t="s">
        <v>65</v>
      </c>
    </row>
    <row r="26" spans="1:1" x14ac:dyDescent="0.2">
      <c r="A26" t="s">
        <v>66</v>
      </c>
    </row>
    <row r="27" spans="1:1" x14ac:dyDescent="0.2">
      <c r="A27" t="s">
        <v>67</v>
      </c>
    </row>
    <row r="28" spans="1:1" x14ac:dyDescent="0.2">
      <c r="A28" t="s">
        <v>64</v>
      </c>
    </row>
    <row r="29" spans="1:1" x14ac:dyDescent="0.2">
      <c r="A29" t="s">
        <v>63</v>
      </c>
    </row>
    <row r="30" spans="1:1" x14ac:dyDescent="0.2">
      <c r="A30" t="s">
        <v>63</v>
      </c>
    </row>
    <row r="31" spans="1:1" x14ac:dyDescent="0.2">
      <c r="A31" t="s">
        <v>63</v>
      </c>
    </row>
    <row r="32" spans="1:1" x14ac:dyDescent="0.2">
      <c r="A32" t="s">
        <v>63</v>
      </c>
    </row>
    <row r="33" spans="1:1" x14ac:dyDescent="0.2">
      <c r="A33" t="s">
        <v>65</v>
      </c>
    </row>
    <row r="34" spans="1:1" x14ac:dyDescent="0.2">
      <c r="A34" t="s">
        <v>66</v>
      </c>
    </row>
    <row r="35" spans="1:1" x14ac:dyDescent="0.2">
      <c r="A35" t="s">
        <v>67</v>
      </c>
    </row>
    <row r="36" spans="1:1" x14ac:dyDescent="0.2">
      <c r="A36" t="s">
        <v>68</v>
      </c>
    </row>
    <row r="37" spans="1:1" x14ac:dyDescent="0.2">
      <c r="A37" t="s">
        <v>69</v>
      </c>
    </row>
    <row r="38" spans="1:1" x14ac:dyDescent="0.2">
      <c r="A38" t="s">
        <v>68</v>
      </c>
    </row>
    <row r="39" spans="1:1" x14ac:dyDescent="0.2">
      <c r="A39" t="s">
        <v>69</v>
      </c>
    </row>
    <row r="40" spans="1:1" x14ac:dyDescent="0.2">
      <c r="A40" t="s">
        <v>70</v>
      </c>
    </row>
    <row r="41" spans="1:1" x14ac:dyDescent="0.2">
      <c r="A41" t="s">
        <v>71</v>
      </c>
    </row>
    <row r="42" spans="1:1" x14ac:dyDescent="0.2">
      <c r="A42" t="s">
        <v>70</v>
      </c>
    </row>
    <row r="43" spans="1:1" x14ac:dyDescent="0.2">
      <c r="A43" t="s">
        <v>70</v>
      </c>
    </row>
    <row r="44" spans="1:1" x14ac:dyDescent="0.2">
      <c r="A44" t="s">
        <v>70</v>
      </c>
    </row>
    <row r="45" spans="1:1" x14ac:dyDescent="0.2">
      <c r="A45" t="s">
        <v>72</v>
      </c>
    </row>
    <row r="46" spans="1:1" x14ac:dyDescent="0.2">
      <c r="A46" t="s">
        <v>70</v>
      </c>
    </row>
    <row r="47" spans="1:1" x14ac:dyDescent="0.2">
      <c r="A47" t="s">
        <v>70</v>
      </c>
    </row>
    <row r="48" spans="1:1" x14ac:dyDescent="0.2">
      <c r="A48" t="s">
        <v>70</v>
      </c>
    </row>
    <row r="49" spans="1:1" x14ac:dyDescent="0.2">
      <c r="A49" t="s">
        <v>71</v>
      </c>
    </row>
    <row r="50" spans="1:1" x14ac:dyDescent="0.2">
      <c r="A50" t="s">
        <v>70</v>
      </c>
    </row>
    <row r="51" spans="1:1" x14ac:dyDescent="0.2">
      <c r="A51" t="s">
        <v>70</v>
      </c>
    </row>
    <row r="52" spans="1:1" x14ac:dyDescent="0.2">
      <c r="A52" t="s">
        <v>70</v>
      </c>
    </row>
    <row r="53" spans="1:1" x14ac:dyDescent="0.2">
      <c r="A53" t="s">
        <v>70</v>
      </c>
    </row>
    <row r="54" spans="1:1" x14ac:dyDescent="0.2">
      <c r="A54" t="s">
        <v>71</v>
      </c>
    </row>
    <row r="55" spans="1:1" x14ac:dyDescent="0.2">
      <c r="A55" t="s">
        <v>70</v>
      </c>
    </row>
    <row r="56" spans="1:1" x14ac:dyDescent="0.2">
      <c r="A56" t="s">
        <v>73</v>
      </c>
    </row>
    <row r="57" spans="1:1" x14ac:dyDescent="0.2">
      <c r="A57" t="s">
        <v>74</v>
      </c>
    </row>
    <row r="58" spans="1:1" x14ac:dyDescent="0.2">
      <c r="A58" t="s">
        <v>74</v>
      </c>
    </row>
    <row r="59" spans="1:1" x14ac:dyDescent="0.2">
      <c r="A59" t="s">
        <v>75</v>
      </c>
    </row>
    <row r="60" spans="1:1" x14ac:dyDescent="0.2">
      <c r="A60" t="s">
        <v>75</v>
      </c>
    </row>
    <row r="61" spans="1:1" x14ac:dyDescent="0.2">
      <c r="A61" t="s">
        <v>74</v>
      </c>
    </row>
    <row r="62" spans="1:1" x14ac:dyDescent="0.2">
      <c r="A62" t="s">
        <v>73</v>
      </c>
    </row>
    <row r="63" spans="1:1" x14ac:dyDescent="0.2">
      <c r="A63" t="s">
        <v>73</v>
      </c>
    </row>
    <row r="64" spans="1:1" x14ac:dyDescent="0.2">
      <c r="A64" t="s">
        <v>73</v>
      </c>
    </row>
    <row r="65" spans="1:1" x14ac:dyDescent="0.2">
      <c r="A65" t="s">
        <v>73</v>
      </c>
    </row>
    <row r="66" spans="1:1" x14ac:dyDescent="0.2">
      <c r="A66" t="s">
        <v>76</v>
      </c>
    </row>
    <row r="67" spans="1:1" x14ac:dyDescent="0.2">
      <c r="A67" t="s">
        <v>77</v>
      </c>
    </row>
    <row r="68" spans="1:1" x14ac:dyDescent="0.2">
      <c r="A68" t="s">
        <v>78</v>
      </c>
    </row>
    <row r="69" spans="1:1" x14ac:dyDescent="0.2">
      <c r="A69" t="s">
        <v>75</v>
      </c>
    </row>
    <row r="70" spans="1:1" x14ac:dyDescent="0.2">
      <c r="A70" t="s">
        <v>75</v>
      </c>
    </row>
    <row r="71" spans="1:1" x14ac:dyDescent="0.2">
      <c r="A71" t="s">
        <v>74</v>
      </c>
    </row>
    <row r="72" spans="1:1" x14ac:dyDescent="0.2">
      <c r="A72" t="s">
        <v>73</v>
      </c>
    </row>
    <row r="73" spans="1:1" x14ac:dyDescent="0.2">
      <c r="A73" t="s">
        <v>73</v>
      </c>
    </row>
    <row r="74" spans="1:1" x14ac:dyDescent="0.2">
      <c r="A74" t="s">
        <v>73</v>
      </c>
    </row>
    <row r="75" spans="1:1" x14ac:dyDescent="0.2">
      <c r="A75" t="s">
        <v>73</v>
      </c>
    </row>
    <row r="76" spans="1:1" x14ac:dyDescent="0.2">
      <c r="A76" t="s">
        <v>76</v>
      </c>
    </row>
    <row r="77" spans="1:1" x14ac:dyDescent="0.2">
      <c r="A77" t="s">
        <v>77</v>
      </c>
    </row>
    <row r="78" spans="1:1" x14ac:dyDescent="0.2">
      <c r="A78" t="s">
        <v>78</v>
      </c>
    </row>
    <row r="79" spans="1:1" x14ac:dyDescent="0.2">
      <c r="A79" t="s">
        <v>79</v>
      </c>
    </row>
    <row r="80" spans="1:1" x14ac:dyDescent="0.2">
      <c r="A80" t="s">
        <v>80</v>
      </c>
    </row>
    <row r="81" spans="1:1" x14ac:dyDescent="0.2">
      <c r="A81" t="s">
        <v>79</v>
      </c>
    </row>
    <row r="82" spans="1:1" x14ac:dyDescent="0.2">
      <c r="A82" t="s">
        <v>80</v>
      </c>
    </row>
    <row r="83" spans="1:1" x14ac:dyDescent="0.2">
      <c r="A83" t="s">
        <v>81</v>
      </c>
    </row>
    <row r="84" spans="1:1" x14ac:dyDescent="0.2">
      <c r="A84" t="s">
        <v>75</v>
      </c>
    </row>
    <row r="85" spans="1:1" x14ac:dyDescent="0.2">
      <c r="A85" t="s">
        <v>75</v>
      </c>
    </row>
    <row r="86" spans="1:1" x14ac:dyDescent="0.2">
      <c r="A86" t="s">
        <v>82</v>
      </c>
    </row>
    <row r="87" spans="1:1" x14ac:dyDescent="0.2">
      <c r="A87" t="s">
        <v>81</v>
      </c>
    </row>
    <row r="88" spans="1:1" x14ac:dyDescent="0.2">
      <c r="A88" t="s">
        <v>81</v>
      </c>
    </row>
    <row r="89" spans="1:1" x14ac:dyDescent="0.2">
      <c r="A89" t="s">
        <v>81</v>
      </c>
    </row>
    <row r="90" spans="1:1" x14ac:dyDescent="0.2">
      <c r="A90" t="s">
        <v>83</v>
      </c>
    </row>
    <row r="91" spans="1:1" x14ac:dyDescent="0.2">
      <c r="A91" t="s">
        <v>75</v>
      </c>
    </row>
    <row r="92" spans="1:1" x14ac:dyDescent="0.2">
      <c r="A92" t="s">
        <v>81</v>
      </c>
    </row>
    <row r="93" spans="1:1" x14ac:dyDescent="0.2">
      <c r="A93" t="s">
        <v>81</v>
      </c>
    </row>
    <row r="94" spans="1:1" x14ac:dyDescent="0.2">
      <c r="A94" t="s">
        <v>81</v>
      </c>
    </row>
    <row r="95" spans="1:1" x14ac:dyDescent="0.2">
      <c r="A95" t="s">
        <v>82</v>
      </c>
    </row>
    <row r="96" spans="1:1" x14ac:dyDescent="0.2">
      <c r="A96" t="s">
        <v>81</v>
      </c>
    </row>
    <row r="97" spans="1:1" x14ac:dyDescent="0.2">
      <c r="A97" t="s">
        <v>81</v>
      </c>
    </row>
    <row r="98" spans="1:1" x14ac:dyDescent="0.2">
      <c r="A98" t="s">
        <v>81</v>
      </c>
    </row>
    <row r="99" spans="1:1" x14ac:dyDescent="0.2">
      <c r="A99" t="s">
        <v>81</v>
      </c>
    </row>
    <row r="100" spans="1:1" x14ac:dyDescent="0.2">
      <c r="A100" t="s">
        <v>82</v>
      </c>
    </row>
    <row r="101" spans="1:1" x14ac:dyDescent="0.2">
      <c r="A101" t="s">
        <v>81</v>
      </c>
    </row>
    <row r="102" spans="1:1" x14ac:dyDescent="0.2">
      <c r="A102" t="s">
        <v>84</v>
      </c>
    </row>
    <row r="103" spans="1:1" x14ac:dyDescent="0.2">
      <c r="A103" t="s">
        <v>85</v>
      </c>
    </row>
    <row r="104" spans="1:1" x14ac:dyDescent="0.2">
      <c r="A104" t="s">
        <v>85</v>
      </c>
    </row>
    <row r="105" spans="1:1" x14ac:dyDescent="0.2">
      <c r="A105" t="s">
        <v>86</v>
      </c>
    </row>
    <row r="106" spans="1:1" x14ac:dyDescent="0.2">
      <c r="A106" t="s">
        <v>86</v>
      </c>
    </row>
    <row r="107" spans="1:1" x14ac:dyDescent="0.2">
      <c r="A107" t="s">
        <v>85</v>
      </c>
    </row>
    <row r="108" spans="1:1" x14ac:dyDescent="0.2">
      <c r="A108" t="s">
        <v>84</v>
      </c>
    </row>
    <row r="109" spans="1:1" x14ac:dyDescent="0.2">
      <c r="A109" t="s">
        <v>84</v>
      </c>
    </row>
    <row r="110" spans="1:1" x14ac:dyDescent="0.2">
      <c r="A110" t="s">
        <v>84</v>
      </c>
    </row>
    <row r="111" spans="1:1" x14ac:dyDescent="0.2">
      <c r="A111" t="s">
        <v>84</v>
      </c>
    </row>
    <row r="112" spans="1:1" x14ac:dyDescent="0.2">
      <c r="A112" t="s">
        <v>87</v>
      </c>
    </row>
    <row r="113" spans="1:1" x14ac:dyDescent="0.2">
      <c r="A113" t="s">
        <v>88</v>
      </c>
    </row>
    <row r="114" spans="1:1" x14ac:dyDescent="0.2">
      <c r="A114" t="s">
        <v>89</v>
      </c>
    </row>
    <row r="115" spans="1:1" x14ac:dyDescent="0.2">
      <c r="A115" t="s">
        <v>86</v>
      </c>
    </row>
    <row r="116" spans="1:1" x14ac:dyDescent="0.2">
      <c r="A116" t="s">
        <v>86</v>
      </c>
    </row>
    <row r="117" spans="1:1" x14ac:dyDescent="0.2">
      <c r="A117" t="s">
        <v>85</v>
      </c>
    </row>
    <row r="118" spans="1:1" x14ac:dyDescent="0.2">
      <c r="A118" t="s">
        <v>84</v>
      </c>
    </row>
    <row r="119" spans="1:1" x14ac:dyDescent="0.2">
      <c r="A119" t="s">
        <v>84</v>
      </c>
    </row>
    <row r="120" spans="1:1" x14ac:dyDescent="0.2">
      <c r="A120" t="s">
        <v>84</v>
      </c>
    </row>
    <row r="121" spans="1:1" x14ac:dyDescent="0.2">
      <c r="A121" t="s">
        <v>84</v>
      </c>
    </row>
    <row r="122" spans="1:1" x14ac:dyDescent="0.2">
      <c r="A122" t="s">
        <v>87</v>
      </c>
    </row>
    <row r="123" spans="1:1" x14ac:dyDescent="0.2">
      <c r="A123" t="s">
        <v>88</v>
      </c>
    </row>
    <row r="124" spans="1:1" x14ac:dyDescent="0.2">
      <c r="A124" t="s">
        <v>89</v>
      </c>
    </row>
    <row r="125" spans="1:1" x14ac:dyDescent="0.2">
      <c r="A125" t="s">
        <v>90</v>
      </c>
    </row>
    <row r="126" spans="1:1" x14ac:dyDescent="0.2">
      <c r="A126" t="s">
        <v>91</v>
      </c>
    </row>
    <row r="127" spans="1:1" x14ac:dyDescent="0.2">
      <c r="A127" t="s">
        <v>90</v>
      </c>
    </row>
    <row r="128" spans="1:1" x14ac:dyDescent="0.2">
      <c r="A128" t="s">
        <v>91</v>
      </c>
    </row>
    <row r="129" spans="1:1" x14ac:dyDescent="0.2">
      <c r="A129" t="s">
        <v>92</v>
      </c>
    </row>
    <row r="130" spans="1:1" x14ac:dyDescent="0.2">
      <c r="A130" t="s">
        <v>86</v>
      </c>
    </row>
    <row r="131" spans="1:1" x14ac:dyDescent="0.2">
      <c r="A131" t="s">
        <v>86</v>
      </c>
    </row>
    <row r="132" spans="1:1" x14ac:dyDescent="0.2">
      <c r="A132" t="s">
        <v>93</v>
      </c>
    </row>
    <row r="133" spans="1:1" x14ac:dyDescent="0.2">
      <c r="A133" t="s">
        <v>92</v>
      </c>
    </row>
    <row r="134" spans="1:1" x14ac:dyDescent="0.2">
      <c r="A134" t="s">
        <v>92</v>
      </c>
    </row>
    <row r="135" spans="1:1" x14ac:dyDescent="0.2">
      <c r="A135" t="s">
        <v>92</v>
      </c>
    </row>
    <row r="136" spans="1:1" x14ac:dyDescent="0.2">
      <c r="A136" t="s">
        <v>94</v>
      </c>
    </row>
    <row r="137" spans="1:1" x14ac:dyDescent="0.2">
      <c r="A137" t="s">
        <v>86</v>
      </c>
    </row>
    <row r="138" spans="1:1" x14ac:dyDescent="0.2">
      <c r="A138" t="s">
        <v>92</v>
      </c>
    </row>
    <row r="139" spans="1:1" x14ac:dyDescent="0.2">
      <c r="A139" t="s">
        <v>92</v>
      </c>
    </row>
    <row r="140" spans="1:1" x14ac:dyDescent="0.2">
      <c r="A140" t="s">
        <v>92</v>
      </c>
    </row>
    <row r="141" spans="1:1" x14ac:dyDescent="0.2">
      <c r="A141" t="s">
        <v>93</v>
      </c>
    </row>
    <row r="142" spans="1:1" x14ac:dyDescent="0.2">
      <c r="A142" t="s">
        <v>92</v>
      </c>
    </row>
    <row r="143" spans="1:1" x14ac:dyDescent="0.2">
      <c r="A143" t="s">
        <v>92</v>
      </c>
    </row>
    <row r="144" spans="1:1" x14ac:dyDescent="0.2">
      <c r="A144" t="s">
        <v>92</v>
      </c>
    </row>
    <row r="145" spans="1:1" x14ac:dyDescent="0.2">
      <c r="A145" t="s">
        <v>92</v>
      </c>
    </row>
    <row r="146" spans="1:1" x14ac:dyDescent="0.2">
      <c r="A146" t="s">
        <v>93</v>
      </c>
    </row>
    <row r="147" spans="1:1" x14ac:dyDescent="0.2">
      <c r="A147" t="s">
        <v>92</v>
      </c>
    </row>
    <row r="148" spans="1:1" x14ac:dyDescent="0.2">
      <c r="A148" t="s">
        <v>61</v>
      </c>
    </row>
    <row r="149" spans="1:1" x14ac:dyDescent="0.2">
      <c r="A149" t="s">
        <v>62</v>
      </c>
    </row>
    <row r="150" spans="1:1" x14ac:dyDescent="0.2">
      <c r="A150" t="s">
        <v>61</v>
      </c>
    </row>
    <row r="151" spans="1:1" x14ac:dyDescent="0.2">
      <c r="A151" t="s">
        <v>61</v>
      </c>
    </row>
    <row r="152" spans="1:1" x14ac:dyDescent="0.2">
      <c r="A152" t="s">
        <v>61</v>
      </c>
    </row>
    <row r="153" spans="1:1" x14ac:dyDescent="0.2">
      <c r="A153" t="s">
        <v>61</v>
      </c>
    </row>
    <row r="154" spans="1:1" x14ac:dyDescent="0.2">
      <c r="A154" t="s">
        <v>61</v>
      </c>
    </row>
    <row r="155" spans="1:1" x14ac:dyDescent="0.2">
      <c r="A155" t="s">
        <v>61</v>
      </c>
    </row>
    <row r="156" spans="1:1" x14ac:dyDescent="0.2">
      <c r="A156" t="s">
        <v>62</v>
      </c>
    </row>
    <row r="157" spans="1:1" x14ac:dyDescent="0.2">
      <c r="A157" t="s">
        <v>61</v>
      </c>
    </row>
    <row r="158" spans="1:1" x14ac:dyDescent="0.2">
      <c r="A158" t="s">
        <v>61</v>
      </c>
    </row>
    <row r="159" spans="1:1" x14ac:dyDescent="0.2">
      <c r="A159" t="s">
        <v>61</v>
      </c>
    </row>
    <row r="160" spans="1:1" x14ac:dyDescent="0.2">
      <c r="A160" t="s">
        <v>61</v>
      </c>
    </row>
    <row r="161" spans="1:1" x14ac:dyDescent="0.2">
      <c r="A161" t="s">
        <v>62</v>
      </c>
    </row>
    <row r="162" spans="1:1" x14ac:dyDescent="0.2">
      <c r="A162" t="s">
        <v>61</v>
      </c>
    </row>
    <row r="163" spans="1:1" x14ac:dyDescent="0.2">
      <c r="A163" t="s">
        <v>63</v>
      </c>
    </row>
    <row r="164" spans="1:1" x14ac:dyDescent="0.2">
      <c r="A164" t="s">
        <v>64</v>
      </c>
    </row>
    <row r="165" spans="1:1" x14ac:dyDescent="0.2">
      <c r="A165" t="s">
        <v>64</v>
      </c>
    </row>
    <row r="166" spans="1:1" x14ac:dyDescent="0.2">
      <c r="A166" t="s">
        <v>64</v>
      </c>
    </row>
    <row r="167" spans="1:1" x14ac:dyDescent="0.2">
      <c r="A167" t="s">
        <v>63</v>
      </c>
    </row>
    <row r="168" spans="1:1" x14ac:dyDescent="0.2">
      <c r="A168" t="s">
        <v>63</v>
      </c>
    </row>
    <row r="169" spans="1:1" x14ac:dyDescent="0.2">
      <c r="A169" t="s">
        <v>63</v>
      </c>
    </row>
    <row r="170" spans="1:1" x14ac:dyDescent="0.2">
      <c r="A170" t="s">
        <v>63</v>
      </c>
    </row>
    <row r="171" spans="1:1" x14ac:dyDescent="0.2">
      <c r="A171" t="s">
        <v>65</v>
      </c>
    </row>
    <row r="172" spans="1:1" x14ac:dyDescent="0.2">
      <c r="A172" t="s">
        <v>66</v>
      </c>
    </row>
    <row r="173" spans="1:1" x14ac:dyDescent="0.2">
      <c r="A173" t="s">
        <v>67</v>
      </c>
    </row>
    <row r="174" spans="1:1" x14ac:dyDescent="0.2">
      <c r="A174" t="s">
        <v>64</v>
      </c>
    </row>
    <row r="175" spans="1:1" x14ac:dyDescent="0.2">
      <c r="A175" t="s">
        <v>63</v>
      </c>
    </row>
    <row r="176" spans="1:1" x14ac:dyDescent="0.2">
      <c r="A176" t="s">
        <v>63</v>
      </c>
    </row>
    <row r="177" spans="1:1" x14ac:dyDescent="0.2">
      <c r="A177" t="s">
        <v>63</v>
      </c>
    </row>
    <row r="178" spans="1:1" x14ac:dyDescent="0.2">
      <c r="A178" t="s">
        <v>63</v>
      </c>
    </row>
    <row r="179" spans="1:1" x14ac:dyDescent="0.2">
      <c r="A179" t="s">
        <v>65</v>
      </c>
    </row>
    <row r="180" spans="1:1" x14ac:dyDescent="0.2">
      <c r="A180" t="s">
        <v>66</v>
      </c>
    </row>
    <row r="181" spans="1:1" x14ac:dyDescent="0.2">
      <c r="A181" t="s">
        <v>67</v>
      </c>
    </row>
    <row r="182" spans="1:1" x14ac:dyDescent="0.2">
      <c r="A182" t="s">
        <v>68</v>
      </c>
    </row>
    <row r="183" spans="1:1" x14ac:dyDescent="0.2">
      <c r="A183" t="s">
        <v>69</v>
      </c>
    </row>
    <row r="184" spans="1:1" x14ac:dyDescent="0.2">
      <c r="A184" t="s">
        <v>68</v>
      </c>
    </row>
    <row r="185" spans="1:1" x14ac:dyDescent="0.2">
      <c r="A185" t="s">
        <v>69</v>
      </c>
    </row>
    <row r="186" spans="1:1" x14ac:dyDescent="0.2">
      <c r="A186" t="s">
        <v>70</v>
      </c>
    </row>
    <row r="187" spans="1:1" x14ac:dyDescent="0.2">
      <c r="A187" t="s">
        <v>71</v>
      </c>
    </row>
    <row r="188" spans="1:1" x14ac:dyDescent="0.2">
      <c r="A188" t="s">
        <v>70</v>
      </c>
    </row>
    <row r="189" spans="1:1" x14ac:dyDescent="0.2">
      <c r="A189" t="s">
        <v>70</v>
      </c>
    </row>
    <row r="190" spans="1:1" x14ac:dyDescent="0.2">
      <c r="A190" t="s">
        <v>70</v>
      </c>
    </row>
    <row r="191" spans="1:1" x14ac:dyDescent="0.2">
      <c r="A191" t="s">
        <v>72</v>
      </c>
    </row>
    <row r="192" spans="1:1" x14ac:dyDescent="0.2">
      <c r="A192" t="s">
        <v>70</v>
      </c>
    </row>
    <row r="193" spans="1:1" x14ac:dyDescent="0.2">
      <c r="A193" t="s">
        <v>70</v>
      </c>
    </row>
    <row r="194" spans="1:1" x14ac:dyDescent="0.2">
      <c r="A194" t="s">
        <v>70</v>
      </c>
    </row>
    <row r="195" spans="1:1" x14ac:dyDescent="0.2">
      <c r="A195" t="s">
        <v>71</v>
      </c>
    </row>
    <row r="196" spans="1:1" x14ac:dyDescent="0.2">
      <c r="A196" t="s">
        <v>70</v>
      </c>
    </row>
    <row r="197" spans="1:1" x14ac:dyDescent="0.2">
      <c r="A197" t="s">
        <v>70</v>
      </c>
    </row>
    <row r="198" spans="1:1" x14ac:dyDescent="0.2">
      <c r="A198" t="s">
        <v>70</v>
      </c>
    </row>
    <row r="199" spans="1:1" x14ac:dyDescent="0.2">
      <c r="A199" t="s">
        <v>70</v>
      </c>
    </row>
    <row r="200" spans="1:1" x14ac:dyDescent="0.2">
      <c r="A200" t="s">
        <v>71</v>
      </c>
    </row>
    <row r="201" spans="1:1" x14ac:dyDescent="0.2">
      <c r="A201" t="s">
        <v>70</v>
      </c>
    </row>
    <row r="202" spans="1:1" x14ac:dyDescent="0.2">
      <c r="A202" t="s">
        <v>73</v>
      </c>
    </row>
    <row r="203" spans="1:1" x14ac:dyDescent="0.2">
      <c r="A203" t="s">
        <v>74</v>
      </c>
    </row>
    <row r="204" spans="1:1" x14ac:dyDescent="0.2">
      <c r="A204" t="s">
        <v>74</v>
      </c>
    </row>
    <row r="205" spans="1:1" x14ac:dyDescent="0.2">
      <c r="A205" t="s">
        <v>75</v>
      </c>
    </row>
    <row r="206" spans="1:1" x14ac:dyDescent="0.2">
      <c r="A206" t="s">
        <v>75</v>
      </c>
    </row>
    <row r="207" spans="1:1" x14ac:dyDescent="0.2">
      <c r="A207" t="s">
        <v>74</v>
      </c>
    </row>
    <row r="208" spans="1:1" x14ac:dyDescent="0.2">
      <c r="A208" t="s">
        <v>73</v>
      </c>
    </row>
    <row r="209" spans="1:1" x14ac:dyDescent="0.2">
      <c r="A209" t="s">
        <v>73</v>
      </c>
    </row>
    <row r="210" spans="1:1" x14ac:dyDescent="0.2">
      <c r="A210" t="s">
        <v>73</v>
      </c>
    </row>
    <row r="211" spans="1:1" x14ac:dyDescent="0.2">
      <c r="A211" t="s">
        <v>73</v>
      </c>
    </row>
    <row r="212" spans="1:1" x14ac:dyDescent="0.2">
      <c r="A212" t="s">
        <v>76</v>
      </c>
    </row>
    <row r="213" spans="1:1" x14ac:dyDescent="0.2">
      <c r="A213" t="s">
        <v>77</v>
      </c>
    </row>
    <row r="214" spans="1:1" x14ac:dyDescent="0.2">
      <c r="A214" t="s">
        <v>78</v>
      </c>
    </row>
    <row r="215" spans="1:1" x14ac:dyDescent="0.2">
      <c r="A215" t="s">
        <v>75</v>
      </c>
    </row>
    <row r="216" spans="1:1" x14ac:dyDescent="0.2">
      <c r="A216" t="s">
        <v>75</v>
      </c>
    </row>
    <row r="217" spans="1:1" x14ac:dyDescent="0.2">
      <c r="A217" t="s">
        <v>74</v>
      </c>
    </row>
    <row r="218" spans="1:1" x14ac:dyDescent="0.2">
      <c r="A218" t="s">
        <v>73</v>
      </c>
    </row>
    <row r="219" spans="1:1" x14ac:dyDescent="0.2">
      <c r="A219" t="s">
        <v>73</v>
      </c>
    </row>
    <row r="220" spans="1:1" x14ac:dyDescent="0.2">
      <c r="A220" t="s">
        <v>73</v>
      </c>
    </row>
    <row r="221" spans="1:1" x14ac:dyDescent="0.2">
      <c r="A221" t="s">
        <v>73</v>
      </c>
    </row>
    <row r="222" spans="1:1" x14ac:dyDescent="0.2">
      <c r="A222" t="s">
        <v>76</v>
      </c>
    </row>
    <row r="223" spans="1:1" x14ac:dyDescent="0.2">
      <c r="A223" t="s">
        <v>77</v>
      </c>
    </row>
    <row r="224" spans="1:1" x14ac:dyDescent="0.2">
      <c r="A224" t="s">
        <v>78</v>
      </c>
    </row>
    <row r="225" spans="1:1" x14ac:dyDescent="0.2">
      <c r="A225" t="s">
        <v>79</v>
      </c>
    </row>
    <row r="226" spans="1:1" x14ac:dyDescent="0.2">
      <c r="A226" t="s">
        <v>80</v>
      </c>
    </row>
    <row r="227" spans="1:1" x14ac:dyDescent="0.2">
      <c r="A227" t="s">
        <v>79</v>
      </c>
    </row>
    <row r="228" spans="1:1" x14ac:dyDescent="0.2">
      <c r="A228" t="s">
        <v>80</v>
      </c>
    </row>
    <row r="229" spans="1:1" x14ac:dyDescent="0.2">
      <c r="A229" t="s">
        <v>81</v>
      </c>
    </row>
    <row r="230" spans="1:1" x14ac:dyDescent="0.2">
      <c r="A230" t="s">
        <v>75</v>
      </c>
    </row>
    <row r="231" spans="1:1" x14ac:dyDescent="0.2">
      <c r="A231" t="s">
        <v>75</v>
      </c>
    </row>
    <row r="232" spans="1:1" x14ac:dyDescent="0.2">
      <c r="A232" t="s">
        <v>82</v>
      </c>
    </row>
    <row r="233" spans="1:1" x14ac:dyDescent="0.2">
      <c r="A233" t="s">
        <v>81</v>
      </c>
    </row>
    <row r="234" spans="1:1" x14ac:dyDescent="0.2">
      <c r="A234" t="s">
        <v>81</v>
      </c>
    </row>
    <row r="235" spans="1:1" x14ac:dyDescent="0.2">
      <c r="A235" t="s">
        <v>81</v>
      </c>
    </row>
    <row r="236" spans="1:1" x14ac:dyDescent="0.2">
      <c r="A236" t="s">
        <v>83</v>
      </c>
    </row>
    <row r="237" spans="1:1" x14ac:dyDescent="0.2">
      <c r="A237" t="s">
        <v>75</v>
      </c>
    </row>
    <row r="238" spans="1:1" x14ac:dyDescent="0.2">
      <c r="A238" t="s">
        <v>81</v>
      </c>
    </row>
    <row r="239" spans="1:1" x14ac:dyDescent="0.2">
      <c r="A239" t="s">
        <v>81</v>
      </c>
    </row>
    <row r="240" spans="1:1" x14ac:dyDescent="0.2">
      <c r="A240" t="s">
        <v>81</v>
      </c>
    </row>
    <row r="241" spans="1:1" x14ac:dyDescent="0.2">
      <c r="A241" t="s">
        <v>82</v>
      </c>
    </row>
    <row r="242" spans="1:1" x14ac:dyDescent="0.2">
      <c r="A242" t="s">
        <v>81</v>
      </c>
    </row>
    <row r="243" spans="1:1" x14ac:dyDescent="0.2">
      <c r="A243" t="s">
        <v>81</v>
      </c>
    </row>
    <row r="244" spans="1:1" x14ac:dyDescent="0.2">
      <c r="A244" t="s">
        <v>81</v>
      </c>
    </row>
    <row r="245" spans="1:1" x14ac:dyDescent="0.2">
      <c r="A245" t="s">
        <v>81</v>
      </c>
    </row>
    <row r="246" spans="1:1" x14ac:dyDescent="0.2">
      <c r="A246" t="s">
        <v>82</v>
      </c>
    </row>
    <row r="247" spans="1:1" x14ac:dyDescent="0.2">
      <c r="A247" t="s">
        <v>81</v>
      </c>
    </row>
    <row r="248" spans="1:1" x14ac:dyDescent="0.2">
      <c r="A248" t="s">
        <v>84</v>
      </c>
    </row>
    <row r="249" spans="1:1" x14ac:dyDescent="0.2">
      <c r="A249" t="s">
        <v>85</v>
      </c>
    </row>
    <row r="250" spans="1:1" x14ac:dyDescent="0.2">
      <c r="A250" t="s">
        <v>85</v>
      </c>
    </row>
    <row r="251" spans="1:1" x14ac:dyDescent="0.2">
      <c r="A251" t="s">
        <v>86</v>
      </c>
    </row>
    <row r="252" spans="1:1" x14ac:dyDescent="0.2">
      <c r="A252" t="s">
        <v>86</v>
      </c>
    </row>
    <row r="253" spans="1:1" x14ac:dyDescent="0.2">
      <c r="A253" t="s">
        <v>85</v>
      </c>
    </row>
    <row r="254" spans="1:1" x14ac:dyDescent="0.2">
      <c r="A254" t="s">
        <v>84</v>
      </c>
    </row>
    <row r="255" spans="1:1" x14ac:dyDescent="0.2">
      <c r="A255" t="s">
        <v>84</v>
      </c>
    </row>
    <row r="256" spans="1:1" x14ac:dyDescent="0.2">
      <c r="A256" t="s">
        <v>84</v>
      </c>
    </row>
    <row r="257" spans="1:1" x14ac:dyDescent="0.2">
      <c r="A257" t="s">
        <v>84</v>
      </c>
    </row>
    <row r="258" spans="1:1" x14ac:dyDescent="0.2">
      <c r="A258" t="s">
        <v>87</v>
      </c>
    </row>
    <row r="259" spans="1:1" x14ac:dyDescent="0.2">
      <c r="A259" t="s">
        <v>88</v>
      </c>
    </row>
    <row r="260" spans="1:1" x14ac:dyDescent="0.2">
      <c r="A260" t="s">
        <v>89</v>
      </c>
    </row>
    <row r="261" spans="1:1" x14ac:dyDescent="0.2">
      <c r="A261" t="s">
        <v>86</v>
      </c>
    </row>
    <row r="262" spans="1:1" x14ac:dyDescent="0.2">
      <c r="A262" t="s">
        <v>86</v>
      </c>
    </row>
    <row r="263" spans="1:1" x14ac:dyDescent="0.2">
      <c r="A263" t="s">
        <v>85</v>
      </c>
    </row>
    <row r="264" spans="1:1" x14ac:dyDescent="0.2">
      <c r="A264" t="s">
        <v>84</v>
      </c>
    </row>
    <row r="265" spans="1:1" x14ac:dyDescent="0.2">
      <c r="A265" t="s">
        <v>84</v>
      </c>
    </row>
    <row r="266" spans="1:1" x14ac:dyDescent="0.2">
      <c r="A266" t="s">
        <v>84</v>
      </c>
    </row>
    <row r="267" spans="1:1" x14ac:dyDescent="0.2">
      <c r="A267" t="s">
        <v>84</v>
      </c>
    </row>
    <row r="268" spans="1:1" x14ac:dyDescent="0.2">
      <c r="A268" t="s">
        <v>87</v>
      </c>
    </row>
    <row r="269" spans="1:1" x14ac:dyDescent="0.2">
      <c r="A269" t="s">
        <v>88</v>
      </c>
    </row>
    <row r="270" spans="1:1" x14ac:dyDescent="0.2">
      <c r="A270" t="s">
        <v>89</v>
      </c>
    </row>
    <row r="271" spans="1:1" x14ac:dyDescent="0.2">
      <c r="A271" t="s">
        <v>90</v>
      </c>
    </row>
    <row r="272" spans="1:1" x14ac:dyDescent="0.2">
      <c r="A272" t="s">
        <v>91</v>
      </c>
    </row>
    <row r="273" spans="1:1" x14ac:dyDescent="0.2">
      <c r="A273" t="s">
        <v>90</v>
      </c>
    </row>
    <row r="274" spans="1:1" x14ac:dyDescent="0.2">
      <c r="A274" t="s">
        <v>91</v>
      </c>
    </row>
    <row r="275" spans="1:1" x14ac:dyDescent="0.2">
      <c r="A275" t="s">
        <v>92</v>
      </c>
    </row>
    <row r="276" spans="1:1" x14ac:dyDescent="0.2">
      <c r="A276" t="s">
        <v>86</v>
      </c>
    </row>
    <row r="277" spans="1:1" x14ac:dyDescent="0.2">
      <c r="A277" t="s">
        <v>86</v>
      </c>
    </row>
    <row r="278" spans="1:1" x14ac:dyDescent="0.2">
      <c r="A278" t="s">
        <v>93</v>
      </c>
    </row>
    <row r="279" spans="1:1" x14ac:dyDescent="0.2">
      <c r="A279" t="s">
        <v>92</v>
      </c>
    </row>
    <row r="280" spans="1:1" x14ac:dyDescent="0.2">
      <c r="A280" t="s">
        <v>92</v>
      </c>
    </row>
    <row r="281" spans="1:1" x14ac:dyDescent="0.2">
      <c r="A281" t="s">
        <v>92</v>
      </c>
    </row>
    <row r="282" spans="1:1" x14ac:dyDescent="0.2">
      <c r="A282" t="s">
        <v>94</v>
      </c>
    </row>
    <row r="283" spans="1:1" x14ac:dyDescent="0.2">
      <c r="A283" t="s">
        <v>86</v>
      </c>
    </row>
    <row r="284" spans="1:1" x14ac:dyDescent="0.2">
      <c r="A284" t="s">
        <v>92</v>
      </c>
    </row>
    <row r="285" spans="1:1" x14ac:dyDescent="0.2">
      <c r="A285" t="s">
        <v>92</v>
      </c>
    </row>
    <row r="286" spans="1:1" x14ac:dyDescent="0.2">
      <c r="A286" t="s">
        <v>92</v>
      </c>
    </row>
    <row r="287" spans="1:1" x14ac:dyDescent="0.2">
      <c r="A287" t="s">
        <v>93</v>
      </c>
    </row>
    <row r="288" spans="1:1" x14ac:dyDescent="0.2">
      <c r="A288" t="s">
        <v>92</v>
      </c>
    </row>
    <row r="289" spans="1:1" x14ac:dyDescent="0.2">
      <c r="A289" t="s">
        <v>92</v>
      </c>
    </row>
    <row r="290" spans="1:1" x14ac:dyDescent="0.2">
      <c r="A290" t="s">
        <v>92</v>
      </c>
    </row>
    <row r="291" spans="1:1" x14ac:dyDescent="0.2">
      <c r="A291" t="s">
        <v>92</v>
      </c>
    </row>
    <row r="292" spans="1:1" x14ac:dyDescent="0.2">
      <c r="A292" t="s">
        <v>93</v>
      </c>
    </row>
    <row r="293" spans="1:1" x14ac:dyDescent="0.2">
      <c r="A293" t="s">
        <v>92</v>
      </c>
    </row>
    <row r="294" spans="1:1" x14ac:dyDescent="0.2">
      <c r="A294" t="s">
        <v>61</v>
      </c>
    </row>
    <row r="295" spans="1:1" x14ac:dyDescent="0.2">
      <c r="A295" t="s">
        <v>62</v>
      </c>
    </row>
    <row r="296" spans="1:1" x14ac:dyDescent="0.2">
      <c r="A296" t="s">
        <v>61</v>
      </c>
    </row>
    <row r="297" spans="1:1" x14ac:dyDescent="0.2">
      <c r="A297" t="s">
        <v>61</v>
      </c>
    </row>
    <row r="298" spans="1:1" x14ac:dyDescent="0.2">
      <c r="A298" t="s">
        <v>61</v>
      </c>
    </row>
    <row r="299" spans="1:1" x14ac:dyDescent="0.2">
      <c r="A299" t="s">
        <v>61</v>
      </c>
    </row>
    <row r="300" spans="1:1" x14ac:dyDescent="0.2">
      <c r="A300" t="s">
        <v>61</v>
      </c>
    </row>
    <row r="301" spans="1:1" x14ac:dyDescent="0.2">
      <c r="A301" t="s">
        <v>61</v>
      </c>
    </row>
    <row r="302" spans="1:1" x14ac:dyDescent="0.2">
      <c r="A302" t="s">
        <v>62</v>
      </c>
    </row>
    <row r="303" spans="1:1" x14ac:dyDescent="0.2">
      <c r="A303" t="s">
        <v>61</v>
      </c>
    </row>
    <row r="304" spans="1:1" x14ac:dyDescent="0.2">
      <c r="A304" t="s">
        <v>61</v>
      </c>
    </row>
    <row r="305" spans="1:1" x14ac:dyDescent="0.2">
      <c r="A305" t="s">
        <v>61</v>
      </c>
    </row>
    <row r="306" spans="1:1" x14ac:dyDescent="0.2">
      <c r="A306" t="s">
        <v>61</v>
      </c>
    </row>
    <row r="307" spans="1:1" x14ac:dyDescent="0.2">
      <c r="A307" t="s">
        <v>62</v>
      </c>
    </row>
    <row r="308" spans="1:1" x14ac:dyDescent="0.2">
      <c r="A308" t="s">
        <v>61</v>
      </c>
    </row>
    <row r="309" spans="1:1" x14ac:dyDescent="0.2">
      <c r="A309" t="s">
        <v>63</v>
      </c>
    </row>
    <row r="310" spans="1:1" x14ac:dyDescent="0.2">
      <c r="A310" t="s">
        <v>64</v>
      </c>
    </row>
    <row r="311" spans="1:1" x14ac:dyDescent="0.2">
      <c r="A311" t="s">
        <v>64</v>
      </c>
    </row>
    <row r="312" spans="1:1" x14ac:dyDescent="0.2">
      <c r="A312" t="s">
        <v>64</v>
      </c>
    </row>
    <row r="313" spans="1:1" x14ac:dyDescent="0.2">
      <c r="A313" t="s">
        <v>63</v>
      </c>
    </row>
    <row r="314" spans="1:1" x14ac:dyDescent="0.2">
      <c r="A314" t="s">
        <v>63</v>
      </c>
    </row>
    <row r="315" spans="1:1" x14ac:dyDescent="0.2">
      <c r="A315" t="s">
        <v>63</v>
      </c>
    </row>
    <row r="316" spans="1:1" x14ac:dyDescent="0.2">
      <c r="A316" t="s">
        <v>63</v>
      </c>
    </row>
    <row r="317" spans="1:1" x14ac:dyDescent="0.2">
      <c r="A317" t="s">
        <v>65</v>
      </c>
    </row>
    <row r="318" spans="1:1" x14ac:dyDescent="0.2">
      <c r="A318" t="s">
        <v>66</v>
      </c>
    </row>
    <row r="319" spans="1:1" x14ac:dyDescent="0.2">
      <c r="A319" t="s">
        <v>67</v>
      </c>
    </row>
    <row r="320" spans="1:1" x14ac:dyDescent="0.2">
      <c r="A320" t="s">
        <v>64</v>
      </c>
    </row>
    <row r="321" spans="1:1" x14ac:dyDescent="0.2">
      <c r="A321" t="s">
        <v>63</v>
      </c>
    </row>
    <row r="322" spans="1:1" x14ac:dyDescent="0.2">
      <c r="A322" t="s">
        <v>63</v>
      </c>
    </row>
    <row r="323" spans="1:1" x14ac:dyDescent="0.2">
      <c r="A323" t="s">
        <v>63</v>
      </c>
    </row>
    <row r="324" spans="1:1" x14ac:dyDescent="0.2">
      <c r="A324" t="s">
        <v>63</v>
      </c>
    </row>
    <row r="325" spans="1:1" x14ac:dyDescent="0.2">
      <c r="A325" t="s">
        <v>65</v>
      </c>
    </row>
    <row r="326" spans="1:1" x14ac:dyDescent="0.2">
      <c r="A326" t="s">
        <v>66</v>
      </c>
    </row>
    <row r="327" spans="1:1" x14ac:dyDescent="0.2">
      <c r="A327" t="s">
        <v>67</v>
      </c>
    </row>
    <row r="328" spans="1:1" x14ac:dyDescent="0.2">
      <c r="A328" t="s">
        <v>68</v>
      </c>
    </row>
    <row r="329" spans="1:1" x14ac:dyDescent="0.2">
      <c r="A329" t="s">
        <v>69</v>
      </c>
    </row>
    <row r="330" spans="1:1" x14ac:dyDescent="0.2">
      <c r="A330" t="s">
        <v>68</v>
      </c>
    </row>
    <row r="331" spans="1:1" x14ac:dyDescent="0.2">
      <c r="A331" t="s">
        <v>69</v>
      </c>
    </row>
    <row r="332" spans="1:1" x14ac:dyDescent="0.2">
      <c r="A332" t="s">
        <v>70</v>
      </c>
    </row>
    <row r="333" spans="1:1" x14ac:dyDescent="0.2">
      <c r="A333" t="s">
        <v>71</v>
      </c>
    </row>
    <row r="334" spans="1:1" x14ac:dyDescent="0.2">
      <c r="A334" t="s">
        <v>70</v>
      </c>
    </row>
    <row r="335" spans="1:1" x14ac:dyDescent="0.2">
      <c r="A335" t="s">
        <v>70</v>
      </c>
    </row>
    <row r="336" spans="1:1" x14ac:dyDescent="0.2">
      <c r="A336" t="s">
        <v>70</v>
      </c>
    </row>
    <row r="337" spans="1:1" x14ac:dyDescent="0.2">
      <c r="A337" t="s">
        <v>72</v>
      </c>
    </row>
    <row r="338" spans="1:1" x14ac:dyDescent="0.2">
      <c r="A338" t="s">
        <v>70</v>
      </c>
    </row>
    <row r="339" spans="1:1" x14ac:dyDescent="0.2">
      <c r="A339" t="s">
        <v>70</v>
      </c>
    </row>
    <row r="340" spans="1:1" x14ac:dyDescent="0.2">
      <c r="A340" t="s">
        <v>70</v>
      </c>
    </row>
    <row r="341" spans="1:1" x14ac:dyDescent="0.2">
      <c r="A341" t="s">
        <v>71</v>
      </c>
    </row>
    <row r="342" spans="1:1" x14ac:dyDescent="0.2">
      <c r="A342" t="s">
        <v>70</v>
      </c>
    </row>
    <row r="343" spans="1:1" x14ac:dyDescent="0.2">
      <c r="A343" t="s">
        <v>70</v>
      </c>
    </row>
    <row r="344" spans="1:1" x14ac:dyDescent="0.2">
      <c r="A344" t="s">
        <v>70</v>
      </c>
    </row>
    <row r="345" spans="1:1" x14ac:dyDescent="0.2">
      <c r="A345" t="s">
        <v>70</v>
      </c>
    </row>
    <row r="346" spans="1:1" x14ac:dyDescent="0.2">
      <c r="A346" t="s">
        <v>71</v>
      </c>
    </row>
    <row r="347" spans="1:1" x14ac:dyDescent="0.2">
      <c r="A347" t="s">
        <v>70</v>
      </c>
    </row>
    <row r="348" spans="1:1" x14ac:dyDescent="0.2">
      <c r="A348" t="s">
        <v>73</v>
      </c>
    </row>
    <row r="349" spans="1:1" x14ac:dyDescent="0.2">
      <c r="A349" t="s">
        <v>74</v>
      </c>
    </row>
    <row r="350" spans="1:1" x14ac:dyDescent="0.2">
      <c r="A350" t="s">
        <v>74</v>
      </c>
    </row>
    <row r="351" spans="1:1" x14ac:dyDescent="0.2">
      <c r="A351" t="s">
        <v>75</v>
      </c>
    </row>
    <row r="352" spans="1:1" x14ac:dyDescent="0.2">
      <c r="A352" t="s">
        <v>75</v>
      </c>
    </row>
    <row r="353" spans="1:1" x14ac:dyDescent="0.2">
      <c r="A353" t="s">
        <v>74</v>
      </c>
    </row>
    <row r="354" spans="1:1" x14ac:dyDescent="0.2">
      <c r="A354" t="s">
        <v>73</v>
      </c>
    </row>
    <row r="355" spans="1:1" x14ac:dyDescent="0.2">
      <c r="A355" t="s">
        <v>73</v>
      </c>
    </row>
    <row r="356" spans="1:1" x14ac:dyDescent="0.2">
      <c r="A356" t="s">
        <v>73</v>
      </c>
    </row>
    <row r="357" spans="1:1" x14ac:dyDescent="0.2">
      <c r="A357" t="s">
        <v>73</v>
      </c>
    </row>
    <row r="358" spans="1:1" x14ac:dyDescent="0.2">
      <c r="A358" t="s">
        <v>76</v>
      </c>
    </row>
    <row r="359" spans="1:1" x14ac:dyDescent="0.2">
      <c r="A359" t="s">
        <v>77</v>
      </c>
    </row>
    <row r="360" spans="1:1" x14ac:dyDescent="0.2">
      <c r="A360" t="s">
        <v>78</v>
      </c>
    </row>
    <row r="361" spans="1:1" x14ac:dyDescent="0.2">
      <c r="A361" t="s">
        <v>75</v>
      </c>
    </row>
    <row r="362" spans="1:1" x14ac:dyDescent="0.2">
      <c r="A362" t="s">
        <v>75</v>
      </c>
    </row>
    <row r="363" spans="1:1" x14ac:dyDescent="0.2">
      <c r="A363" t="s">
        <v>74</v>
      </c>
    </row>
    <row r="364" spans="1:1" x14ac:dyDescent="0.2">
      <c r="A364" t="s">
        <v>73</v>
      </c>
    </row>
    <row r="365" spans="1:1" x14ac:dyDescent="0.2">
      <c r="A365" t="s">
        <v>73</v>
      </c>
    </row>
    <row r="366" spans="1:1" x14ac:dyDescent="0.2">
      <c r="A366" t="s">
        <v>73</v>
      </c>
    </row>
    <row r="367" spans="1:1" x14ac:dyDescent="0.2">
      <c r="A367" t="s">
        <v>73</v>
      </c>
    </row>
    <row r="368" spans="1:1" x14ac:dyDescent="0.2">
      <c r="A368" t="s">
        <v>76</v>
      </c>
    </row>
    <row r="369" spans="1:1" x14ac:dyDescent="0.2">
      <c r="A369" t="s">
        <v>77</v>
      </c>
    </row>
    <row r="370" spans="1:1" x14ac:dyDescent="0.2">
      <c r="A370" t="s">
        <v>78</v>
      </c>
    </row>
    <row r="371" spans="1:1" x14ac:dyDescent="0.2">
      <c r="A371" t="s">
        <v>79</v>
      </c>
    </row>
    <row r="372" spans="1:1" x14ac:dyDescent="0.2">
      <c r="A372" t="s">
        <v>80</v>
      </c>
    </row>
    <row r="373" spans="1:1" x14ac:dyDescent="0.2">
      <c r="A373" t="s">
        <v>79</v>
      </c>
    </row>
    <row r="374" spans="1:1" x14ac:dyDescent="0.2">
      <c r="A374" t="s">
        <v>80</v>
      </c>
    </row>
    <row r="375" spans="1:1" x14ac:dyDescent="0.2">
      <c r="A375" t="s">
        <v>81</v>
      </c>
    </row>
    <row r="376" spans="1:1" x14ac:dyDescent="0.2">
      <c r="A376" t="s">
        <v>75</v>
      </c>
    </row>
    <row r="377" spans="1:1" x14ac:dyDescent="0.2">
      <c r="A377" t="s">
        <v>75</v>
      </c>
    </row>
    <row r="378" spans="1:1" x14ac:dyDescent="0.2">
      <c r="A378" t="s">
        <v>82</v>
      </c>
    </row>
    <row r="379" spans="1:1" x14ac:dyDescent="0.2">
      <c r="A379" t="s">
        <v>81</v>
      </c>
    </row>
    <row r="380" spans="1:1" x14ac:dyDescent="0.2">
      <c r="A380" t="s">
        <v>81</v>
      </c>
    </row>
    <row r="381" spans="1:1" x14ac:dyDescent="0.2">
      <c r="A381" t="s">
        <v>81</v>
      </c>
    </row>
    <row r="382" spans="1:1" x14ac:dyDescent="0.2">
      <c r="A382" t="s">
        <v>83</v>
      </c>
    </row>
    <row r="383" spans="1:1" x14ac:dyDescent="0.2">
      <c r="A383" t="s">
        <v>75</v>
      </c>
    </row>
    <row r="384" spans="1:1" x14ac:dyDescent="0.2">
      <c r="A384" t="s">
        <v>81</v>
      </c>
    </row>
    <row r="385" spans="1:1" x14ac:dyDescent="0.2">
      <c r="A385" t="s">
        <v>81</v>
      </c>
    </row>
    <row r="386" spans="1:1" x14ac:dyDescent="0.2">
      <c r="A386" t="s">
        <v>81</v>
      </c>
    </row>
    <row r="387" spans="1:1" x14ac:dyDescent="0.2">
      <c r="A387" t="s">
        <v>82</v>
      </c>
    </row>
    <row r="388" spans="1:1" x14ac:dyDescent="0.2">
      <c r="A388" t="s">
        <v>81</v>
      </c>
    </row>
    <row r="389" spans="1:1" x14ac:dyDescent="0.2">
      <c r="A389" t="s">
        <v>81</v>
      </c>
    </row>
    <row r="390" spans="1:1" x14ac:dyDescent="0.2">
      <c r="A390" t="s">
        <v>81</v>
      </c>
    </row>
    <row r="391" spans="1:1" x14ac:dyDescent="0.2">
      <c r="A391" t="s">
        <v>81</v>
      </c>
    </row>
    <row r="392" spans="1:1" x14ac:dyDescent="0.2">
      <c r="A392" t="s">
        <v>82</v>
      </c>
    </row>
    <row r="393" spans="1:1" x14ac:dyDescent="0.2">
      <c r="A393" t="s">
        <v>81</v>
      </c>
    </row>
    <row r="394" spans="1:1" x14ac:dyDescent="0.2">
      <c r="A394" t="s">
        <v>84</v>
      </c>
    </row>
    <row r="395" spans="1:1" x14ac:dyDescent="0.2">
      <c r="A395" t="s">
        <v>85</v>
      </c>
    </row>
    <row r="396" spans="1:1" x14ac:dyDescent="0.2">
      <c r="A396" t="s">
        <v>85</v>
      </c>
    </row>
    <row r="397" spans="1:1" x14ac:dyDescent="0.2">
      <c r="A397" t="s">
        <v>86</v>
      </c>
    </row>
    <row r="398" spans="1:1" x14ac:dyDescent="0.2">
      <c r="A398" t="s">
        <v>86</v>
      </c>
    </row>
    <row r="399" spans="1:1" x14ac:dyDescent="0.2">
      <c r="A399" t="s">
        <v>85</v>
      </c>
    </row>
    <row r="400" spans="1:1" x14ac:dyDescent="0.2">
      <c r="A400" t="s">
        <v>84</v>
      </c>
    </row>
    <row r="401" spans="1:1" x14ac:dyDescent="0.2">
      <c r="A401" t="s">
        <v>84</v>
      </c>
    </row>
    <row r="402" spans="1:1" x14ac:dyDescent="0.2">
      <c r="A402" t="s">
        <v>84</v>
      </c>
    </row>
    <row r="403" spans="1:1" x14ac:dyDescent="0.2">
      <c r="A403" t="s">
        <v>84</v>
      </c>
    </row>
    <row r="404" spans="1:1" x14ac:dyDescent="0.2">
      <c r="A404" t="s">
        <v>87</v>
      </c>
    </row>
    <row r="405" spans="1:1" x14ac:dyDescent="0.2">
      <c r="A405" t="s">
        <v>88</v>
      </c>
    </row>
    <row r="406" spans="1:1" x14ac:dyDescent="0.2">
      <c r="A406" t="s">
        <v>89</v>
      </c>
    </row>
    <row r="407" spans="1:1" x14ac:dyDescent="0.2">
      <c r="A407" t="s">
        <v>86</v>
      </c>
    </row>
    <row r="408" spans="1:1" x14ac:dyDescent="0.2">
      <c r="A408" t="s">
        <v>86</v>
      </c>
    </row>
    <row r="409" spans="1:1" x14ac:dyDescent="0.2">
      <c r="A409" t="s">
        <v>85</v>
      </c>
    </row>
    <row r="410" spans="1:1" x14ac:dyDescent="0.2">
      <c r="A410" t="s">
        <v>84</v>
      </c>
    </row>
    <row r="411" spans="1:1" x14ac:dyDescent="0.2">
      <c r="A411" t="s">
        <v>84</v>
      </c>
    </row>
    <row r="412" spans="1:1" x14ac:dyDescent="0.2">
      <c r="A412" t="s">
        <v>84</v>
      </c>
    </row>
    <row r="413" spans="1:1" x14ac:dyDescent="0.2">
      <c r="A413" t="s">
        <v>84</v>
      </c>
    </row>
    <row r="414" spans="1:1" x14ac:dyDescent="0.2">
      <c r="A414" t="s">
        <v>87</v>
      </c>
    </row>
    <row r="415" spans="1:1" x14ac:dyDescent="0.2">
      <c r="A415" t="s">
        <v>88</v>
      </c>
    </row>
    <row r="416" spans="1:1" x14ac:dyDescent="0.2">
      <c r="A416" t="s">
        <v>89</v>
      </c>
    </row>
    <row r="417" spans="1:1" x14ac:dyDescent="0.2">
      <c r="A417" t="s">
        <v>90</v>
      </c>
    </row>
    <row r="418" spans="1:1" x14ac:dyDescent="0.2">
      <c r="A418" t="s">
        <v>91</v>
      </c>
    </row>
    <row r="419" spans="1:1" x14ac:dyDescent="0.2">
      <c r="A419" t="s">
        <v>90</v>
      </c>
    </row>
    <row r="420" spans="1:1" x14ac:dyDescent="0.2">
      <c r="A420" t="s">
        <v>91</v>
      </c>
    </row>
    <row r="421" spans="1:1" x14ac:dyDescent="0.2">
      <c r="A421" t="s">
        <v>92</v>
      </c>
    </row>
    <row r="422" spans="1:1" x14ac:dyDescent="0.2">
      <c r="A422" t="s">
        <v>86</v>
      </c>
    </row>
    <row r="423" spans="1:1" x14ac:dyDescent="0.2">
      <c r="A423" t="s">
        <v>86</v>
      </c>
    </row>
    <row r="424" spans="1:1" x14ac:dyDescent="0.2">
      <c r="A424" t="s">
        <v>93</v>
      </c>
    </row>
    <row r="425" spans="1:1" x14ac:dyDescent="0.2">
      <c r="A425" t="s">
        <v>92</v>
      </c>
    </row>
    <row r="426" spans="1:1" x14ac:dyDescent="0.2">
      <c r="A426" t="s">
        <v>92</v>
      </c>
    </row>
    <row r="427" spans="1:1" x14ac:dyDescent="0.2">
      <c r="A427" t="s">
        <v>92</v>
      </c>
    </row>
    <row r="428" spans="1:1" x14ac:dyDescent="0.2">
      <c r="A428" t="s">
        <v>94</v>
      </c>
    </row>
    <row r="429" spans="1:1" x14ac:dyDescent="0.2">
      <c r="A429" t="s">
        <v>86</v>
      </c>
    </row>
    <row r="430" spans="1:1" x14ac:dyDescent="0.2">
      <c r="A430" t="s">
        <v>92</v>
      </c>
    </row>
    <row r="431" spans="1:1" x14ac:dyDescent="0.2">
      <c r="A431" t="s">
        <v>92</v>
      </c>
    </row>
    <row r="432" spans="1:1" x14ac:dyDescent="0.2">
      <c r="A432" t="s">
        <v>92</v>
      </c>
    </row>
    <row r="433" spans="1:1" x14ac:dyDescent="0.2">
      <c r="A433" t="s">
        <v>93</v>
      </c>
    </row>
    <row r="434" spans="1:1" x14ac:dyDescent="0.2">
      <c r="A434" t="s">
        <v>92</v>
      </c>
    </row>
    <row r="435" spans="1:1" x14ac:dyDescent="0.2">
      <c r="A435" t="s">
        <v>92</v>
      </c>
    </row>
    <row r="436" spans="1:1" x14ac:dyDescent="0.2">
      <c r="A436" t="s">
        <v>92</v>
      </c>
    </row>
    <row r="437" spans="1:1" x14ac:dyDescent="0.2">
      <c r="A437" t="s">
        <v>92</v>
      </c>
    </row>
    <row r="438" spans="1:1" x14ac:dyDescent="0.2">
      <c r="A438" t="s">
        <v>93</v>
      </c>
    </row>
    <row r="439" spans="1:1" x14ac:dyDescent="0.2">
      <c r="A439" t="s">
        <v>92</v>
      </c>
    </row>
    <row r="440" spans="1:1" x14ac:dyDescent="0.2">
      <c r="A440" t="s">
        <v>61</v>
      </c>
    </row>
    <row r="441" spans="1:1" x14ac:dyDescent="0.2">
      <c r="A441" t="s">
        <v>62</v>
      </c>
    </row>
    <row r="442" spans="1:1" x14ac:dyDescent="0.2">
      <c r="A442" t="s">
        <v>61</v>
      </c>
    </row>
    <row r="443" spans="1:1" x14ac:dyDescent="0.2">
      <c r="A443" t="s">
        <v>61</v>
      </c>
    </row>
    <row r="444" spans="1:1" x14ac:dyDescent="0.2">
      <c r="A444" t="s">
        <v>61</v>
      </c>
    </row>
    <row r="445" spans="1:1" x14ac:dyDescent="0.2">
      <c r="A445" t="s">
        <v>61</v>
      </c>
    </row>
    <row r="446" spans="1:1" x14ac:dyDescent="0.2">
      <c r="A446" t="s">
        <v>61</v>
      </c>
    </row>
    <row r="447" spans="1:1" x14ac:dyDescent="0.2">
      <c r="A447" t="s">
        <v>61</v>
      </c>
    </row>
    <row r="448" spans="1:1" x14ac:dyDescent="0.2">
      <c r="A448" t="s">
        <v>62</v>
      </c>
    </row>
    <row r="449" spans="1:1" x14ac:dyDescent="0.2">
      <c r="A449" t="s">
        <v>61</v>
      </c>
    </row>
    <row r="450" spans="1:1" x14ac:dyDescent="0.2">
      <c r="A450" t="s">
        <v>61</v>
      </c>
    </row>
    <row r="451" spans="1:1" x14ac:dyDescent="0.2">
      <c r="A451" t="s">
        <v>61</v>
      </c>
    </row>
    <row r="452" spans="1:1" x14ac:dyDescent="0.2">
      <c r="A452" t="s">
        <v>61</v>
      </c>
    </row>
    <row r="453" spans="1:1" x14ac:dyDescent="0.2">
      <c r="A453" t="s">
        <v>62</v>
      </c>
    </row>
    <row r="454" spans="1:1" x14ac:dyDescent="0.2">
      <c r="A454" t="s">
        <v>61</v>
      </c>
    </row>
    <row r="455" spans="1:1" x14ac:dyDescent="0.2">
      <c r="A455" t="s">
        <v>63</v>
      </c>
    </row>
    <row r="456" spans="1:1" x14ac:dyDescent="0.2">
      <c r="A456" t="s">
        <v>64</v>
      </c>
    </row>
    <row r="457" spans="1:1" x14ac:dyDescent="0.2">
      <c r="A457" t="s">
        <v>64</v>
      </c>
    </row>
    <row r="458" spans="1:1" x14ac:dyDescent="0.2">
      <c r="A458" t="s">
        <v>64</v>
      </c>
    </row>
    <row r="459" spans="1:1" x14ac:dyDescent="0.2">
      <c r="A459" t="s">
        <v>63</v>
      </c>
    </row>
    <row r="460" spans="1:1" x14ac:dyDescent="0.2">
      <c r="A460" t="s">
        <v>63</v>
      </c>
    </row>
    <row r="461" spans="1:1" x14ac:dyDescent="0.2">
      <c r="A461" t="s">
        <v>63</v>
      </c>
    </row>
    <row r="462" spans="1:1" x14ac:dyDescent="0.2">
      <c r="A462" t="s">
        <v>63</v>
      </c>
    </row>
    <row r="463" spans="1:1" x14ac:dyDescent="0.2">
      <c r="A463" t="s">
        <v>65</v>
      </c>
    </row>
    <row r="464" spans="1:1" x14ac:dyDescent="0.2">
      <c r="A464" t="s">
        <v>66</v>
      </c>
    </row>
    <row r="465" spans="1:1" x14ac:dyDescent="0.2">
      <c r="A465" t="s">
        <v>67</v>
      </c>
    </row>
    <row r="466" spans="1:1" x14ac:dyDescent="0.2">
      <c r="A466" t="s">
        <v>64</v>
      </c>
    </row>
    <row r="467" spans="1:1" x14ac:dyDescent="0.2">
      <c r="A467" t="s">
        <v>63</v>
      </c>
    </row>
    <row r="468" spans="1:1" x14ac:dyDescent="0.2">
      <c r="A468" t="s">
        <v>63</v>
      </c>
    </row>
    <row r="469" spans="1:1" x14ac:dyDescent="0.2">
      <c r="A469" t="s">
        <v>63</v>
      </c>
    </row>
    <row r="470" spans="1:1" x14ac:dyDescent="0.2">
      <c r="A470" t="s">
        <v>63</v>
      </c>
    </row>
    <row r="471" spans="1:1" x14ac:dyDescent="0.2">
      <c r="A471" t="s">
        <v>65</v>
      </c>
    </row>
    <row r="472" spans="1:1" x14ac:dyDescent="0.2">
      <c r="A472" t="s">
        <v>66</v>
      </c>
    </row>
    <row r="473" spans="1:1" x14ac:dyDescent="0.2">
      <c r="A473" t="s">
        <v>67</v>
      </c>
    </row>
    <row r="474" spans="1:1" x14ac:dyDescent="0.2">
      <c r="A474" t="s">
        <v>68</v>
      </c>
    </row>
    <row r="475" spans="1:1" x14ac:dyDescent="0.2">
      <c r="A475" t="s">
        <v>69</v>
      </c>
    </row>
    <row r="476" spans="1:1" x14ac:dyDescent="0.2">
      <c r="A476" t="s">
        <v>68</v>
      </c>
    </row>
    <row r="477" spans="1:1" x14ac:dyDescent="0.2">
      <c r="A477" t="s">
        <v>69</v>
      </c>
    </row>
    <row r="478" spans="1:1" x14ac:dyDescent="0.2">
      <c r="A478" t="s">
        <v>70</v>
      </c>
    </row>
    <row r="479" spans="1:1" x14ac:dyDescent="0.2">
      <c r="A479" t="s">
        <v>71</v>
      </c>
    </row>
    <row r="480" spans="1:1" x14ac:dyDescent="0.2">
      <c r="A480" t="s">
        <v>70</v>
      </c>
    </row>
    <row r="481" spans="1:1" x14ac:dyDescent="0.2">
      <c r="A481" t="s">
        <v>70</v>
      </c>
    </row>
    <row r="482" spans="1:1" x14ac:dyDescent="0.2">
      <c r="A482" t="s">
        <v>70</v>
      </c>
    </row>
    <row r="483" spans="1:1" x14ac:dyDescent="0.2">
      <c r="A483" t="s">
        <v>72</v>
      </c>
    </row>
    <row r="484" spans="1:1" x14ac:dyDescent="0.2">
      <c r="A484" t="s">
        <v>70</v>
      </c>
    </row>
    <row r="485" spans="1:1" x14ac:dyDescent="0.2">
      <c r="A485" t="s">
        <v>70</v>
      </c>
    </row>
    <row r="486" spans="1:1" x14ac:dyDescent="0.2">
      <c r="A486" t="s">
        <v>70</v>
      </c>
    </row>
    <row r="487" spans="1:1" x14ac:dyDescent="0.2">
      <c r="A487" t="s">
        <v>71</v>
      </c>
    </row>
    <row r="488" spans="1:1" x14ac:dyDescent="0.2">
      <c r="A488" t="s">
        <v>70</v>
      </c>
    </row>
    <row r="489" spans="1:1" x14ac:dyDescent="0.2">
      <c r="A489" t="s">
        <v>70</v>
      </c>
    </row>
    <row r="490" spans="1:1" x14ac:dyDescent="0.2">
      <c r="A490" t="s">
        <v>70</v>
      </c>
    </row>
    <row r="491" spans="1:1" x14ac:dyDescent="0.2">
      <c r="A491" t="s">
        <v>70</v>
      </c>
    </row>
    <row r="492" spans="1:1" x14ac:dyDescent="0.2">
      <c r="A492" t="s">
        <v>71</v>
      </c>
    </row>
    <row r="493" spans="1:1" x14ac:dyDescent="0.2">
      <c r="A493" t="s">
        <v>70</v>
      </c>
    </row>
    <row r="494" spans="1:1" x14ac:dyDescent="0.2">
      <c r="A494" t="s">
        <v>73</v>
      </c>
    </row>
    <row r="495" spans="1:1" x14ac:dyDescent="0.2">
      <c r="A495" t="s">
        <v>74</v>
      </c>
    </row>
    <row r="496" spans="1:1" x14ac:dyDescent="0.2">
      <c r="A496" t="s">
        <v>74</v>
      </c>
    </row>
    <row r="497" spans="1:1" x14ac:dyDescent="0.2">
      <c r="A497" t="s">
        <v>75</v>
      </c>
    </row>
    <row r="498" spans="1:1" x14ac:dyDescent="0.2">
      <c r="A498" t="s">
        <v>75</v>
      </c>
    </row>
    <row r="499" spans="1:1" x14ac:dyDescent="0.2">
      <c r="A499" t="s">
        <v>74</v>
      </c>
    </row>
    <row r="500" spans="1:1" x14ac:dyDescent="0.2">
      <c r="A500" t="s">
        <v>73</v>
      </c>
    </row>
    <row r="501" spans="1:1" x14ac:dyDescent="0.2">
      <c r="A501" t="s">
        <v>73</v>
      </c>
    </row>
    <row r="502" spans="1:1" x14ac:dyDescent="0.2">
      <c r="A502" t="s">
        <v>73</v>
      </c>
    </row>
    <row r="503" spans="1:1" x14ac:dyDescent="0.2">
      <c r="A503" t="s">
        <v>73</v>
      </c>
    </row>
    <row r="504" spans="1:1" x14ac:dyDescent="0.2">
      <c r="A504" t="s">
        <v>76</v>
      </c>
    </row>
    <row r="505" spans="1:1" x14ac:dyDescent="0.2">
      <c r="A505" t="s">
        <v>77</v>
      </c>
    </row>
    <row r="506" spans="1:1" x14ac:dyDescent="0.2">
      <c r="A506" t="s">
        <v>78</v>
      </c>
    </row>
    <row r="507" spans="1:1" x14ac:dyDescent="0.2">
      <c r="A507" t="s">
        <v>75</v>
      </c>
    </row>
    <row r="508" spans="1:1" x14ac:dyDescent="0.2">
      <c r="A508" t="s">
        <v>75</v>
      </c>
    </row>
    <row r="509" spans="1:1" x14ac:dyDescent="0.2">
      <c r="A509" t="s">
        <v>74</v>
      </c>
    </row>
    <row r="510" spans="1:1" x14ac:dyDescent="0.2">
      <c r="A510" t="s">
        <v>73</v>
      </c>
    </row>
    <row r="511" spans="1:1" x14ac:dyDescent="0.2">
      <c r="A511" t="s">
        <v>73</v>
      </c>
    </row>
    <row r="512" spans="1:1" x14ac:dyDescent="0.2">
      <c r="A512" t="s">
        <v>73</v>
      </c>
    </row>
    <row r="513" spans="1:1" x14ac:dyDescent="0.2">
      <c r="A513" t="s">
        <v>73</v>
      </c>
    </row>
    <row r="514" spans="1:1" x14ac:dyDescent="0.2">
      <c r="A514" t="s">
        <v>76</v>
      </c>
    </row>
    <row r="515" spans="1:1" x14ac:dyDescent="0.2">
      <c r="A515" t="s">
        <v>77</v>
      </c>
    </row>
    <row r="516" spans="1:1" x14ac:dyDescent="0.2">
      <c r="A516" t="s">
        <v>78</v>
      </c>
    </row>
    <row r="517" spans="1:1" x14ac:dyDescent="0.2">
      <c r="A517" t="s">
        <v>79</v>
      </c>
    </row>
    <row r="518" spans="1:1" x14ac:dyDescent="0.2">
      <c r="A518" t="s">
        <v>80</v>
      </c>
    </row>
    <row r="519" spans="1:1" x14ac:dyDescent="0.2">
      <c r="A519" t="s">
        <v>79</v>
      </c>
    </row>
    <row r="520" spans="1:1" x14ac:dyDescent="0.2">
      <c r="A520" t="s">
        <v>80</v>
      </c>
    </row>
    <row r="521" spans="1:1" x14ac:dyDescent="0.2">
      <c r="A521" t="s">
        <v>81</v>
      </c>
    </row>
    <row r="522" spans="1:1" x14ac:dyDescent="0.2">
      <c r="A522" t="s">
        <v>75</v>
      </c>
    </row>
    <row r="523" spans="1:1" x14ac:dyDescent="0.2">
      <c r="A523" t="s">
        <v>75</v>
      </c>
    </row>
    <row r="524" spans="1:1" x14ac:dyDescent="0.2">
      <c r="A524" t="s">
        <v>82</v>
      </c>
    </row>
    <row r="525" spans="1:1" x14ac:dyDescent="0.2">
      <c r="A525" t="s">
        <v>81</v>
      </c>
    </row>
    <row r="526" spans="1:1" x14ac:dyDescent="0.2">
      <c r="A526" t="s">
        <v>81</v>
      </c>
    </row>
    <row r="527" spans="1:1" x14ac:dyDescent="0.2">
      <c r="A527" t="s">
        <v>81</v>
      </c>
    </row>
    <row r="528" spans="1:1" x14ac:dyDescent="0.2">
      <c r="A528" t="s">
        <v>83</v>
      </c>
    </row>
    <row r="529" spans="1:1" x14ac:dyDescent="0.2">
      <c r="A529" t="s">
        <v>75</v>
      </c>
    </row>
    <row r="530" spans="1:1" x14ac:dyDescent="0.2">
      <c r="A530" t="s">
        <v>81</v>
      </c>
    </row>
    <row r="531" spans="1:1" x14ac:dyDescent="0.2">
      <c r="A531" t="s">
        <v>81</v>
      </c>
    </row>
    <row r="532" spans="1:1" x14ac:dyDescent="0.2">
      <c r="A532" t="s">
        <v>81</v>
      </c>
    </row>
    <row r="533" spans="1:1" x14ac:dyDescent="0.2">
      <c r="A533" t="s">
        <v>82</v>
      </c>
    </row>
    <row r="534" spans="1:1" x14ac:dyDescent="0.2">
      <c r="A534" t="s">
        <v>81</v>
      </c>
    </row>
    <row r="535" spans="1:1" x14ac:dyDescent="0.2">
      <c r="A535" t="s">
        <v>81</v>
      </c>
    </row>
    <row r="536" spans="1:1" x14ac:dyDescent="0.2">
      <c r="A536" t="s">
        <v>81</v>
      </c>
    </row>
    <row r="537" spans="1:1" x14ac:dyDescent="0.2">
      <c r="A537" t="s">
        <v>81</v>
      </c>
    </row>
    <row r="538" spans="1:1" x14ac:dyDescent="0.2">
      <c r="A538" t="s">
        <v>82</v>
      </c>
    </row>
    <row r="539" spans="1:1" x14ac:dyDescent="0.2">
      <c r="A539" t="s">
        <v>81</v>
      </c>
    </row>
    <row r="540" spans="1:1" x14ac:dyDescent="0.2">
      <c r="A540" t="s">
        <v>84</v>
      </c>
    </row>
    <row r="541" spans="1:1" x14ac:dyDescent="0.2">
      <c r="A541" t="s">
        <v>85</v>
      </c>
    </row>
    <row r="542" spans="1:1" x14ac:dyDescent="0.2">
      <c r="A542" t="s">
        <v>85</v>
      </c>
    </row>
    <row r="543" spans="1:1" x14ac:dyDescent="0.2">
      <c r="A543" t="s">
        <v>86</v>
      </c>
    </row>
    <row r="544" spans="1:1" x14ac:dyDescent="0.2">
      <c r="A544" t="s">
        <v>86</v>
      </c>
    </row>
    <row r="545" spans="1:1" x14ac:dyDescent="0.2">
      <c r="A545" t="s">
        <v>85</v>
      </c>
    </row>
    <row r="546" spans="1:1" x14ac:dyDescent="0.2">
      <c r="A546" t="s">
        <v>84</v>
      </c>
    </row>
    <row r="547" spans="1:1" x14ac:dyDescent="0.2">
      <c r="A547" t="s">
        <v>84</v>
      </c>
    </row>
    <row r="548" spans="1:1" x14ac:dyDescent="0.2">
      <c r="A548" t="s">
        <v>84</v>
      </c>
    </row>
    <row r="549" spans="1:1" x14ac:dyDescent="0.2">
      <c r="A549" t="s">
        <v>84</v>
      </c>
    </row>
    <row r="550" spans="1:1" x14ac:dyDescent="0.2">
      <c r="A550" t="s">
        <v>87</v>
      </c>
    </row>
    <row r="551" spans="1:1" x14ac:dyDescent="0.2">
      <c r="A551" t="s">
        <v>88</v>
      </c>
    </row>
    <row r="552" spans="1:1" x14ac:dyDescent="0.2">
      <c r="A552" t="s">
        <v>89</v>
      </c>
    </row>
    <row r="553" spans="1:1" x14ac:dyDescent="0.2">
      <c r="A553" t="s">
        <v>86</v>
      </c>
    </row>
    <row r="554" spans="1:1" x14ac:dyDescent="0.2">
      <c r="A554" t="s">
        <v>86</v>
      </c>
    </row>
    <row r="555" spans="1:1" x14ac:dyDescent="0.2">
      <c r="A555" t="s">
        <v>85</v>
      </c>
    </row>
    <row r="556" spans="1:1" x14ac:dyDescent="0.2">
      <c r="A556" t="s">
        <v>84</v>
      </c>
    </row>
    <row r="557" spans="1:1" x14ac:dyDescent="0.2">
      <c r="A557" t="s">
        <v>84</v>
      </c>
    </row>
    <row r="558" spans="1:1" x14ac:dyDescent="0.2">
      <c r="A558" t="s">
        <v>84</v>
      </c>
    </row>
    <row r="559" spans="1:1" x14ac:dyDescent="0.2">
      <c r="A559" t="s">
        <v>84</v>
      </c>
    </row>
    <row r="560" spans="1:1" x14ac:dyDescent="0.2">
      <c r="A560" t="s">
        <v>87</v>
      </c>
    </row>
    <row r="561" spans="1:1" x14ac:dyDescent="0.2">
      <c r="A561" t="s">
        <v>88</v>
      </c>
    </row>
    <row r="562" spans="1:1" x14ac:dyDescent="0.2">
      <c r="A562" t="s">
        <v>89</v>
      </c>
    </row>
    <row r="563" spans="1:1" x14ac:dyDescent="0.2">
      <c r="A563" t="s">
        <v>90</v>
      </c>
    </row>
    <row r="564" spans="1:1" x14ac:dyDescent="0.2">
      <c r="A564" t="s">
        <v>91</v>
      </c>
    </row>
    <row r="565" spans="1:1" x14ac:dyDescent="0.2">
      <c r="A565" t="s">
        <v>90</v>
      </c>
    </row>
    <row r="566" spans="1:1" x14ac:dyDescent="0.2">
      <c r="A566" t="s">
        <v>91</v>
      </c>
    </row>
    <row r="567" spans="1:1" x14ac:dyDescent="0.2">
      <c r="A567" t="s">
        <v>92</v>
      </c>
    </row>
    <row r="568" spans="1:1" x14ac:dyDescent="0.2">
      <c r="A568" t="s">
        <v>86</v>
      </c>
    </row>
    <row r="569" spans="1:1" x14ac:dyDescent="0.2">
      <c r="A569" t="s">
        <v>86</v>
      </c>
    </row>
    <row r="570" spans="1:1" x14ac:dyDescent="0.2">
      <c r="A570" t="s">
        <v>93</v>
      </c>
    </row>
    <row r="571" spans="1:1" x14ac:dyDescent="0.2">
      <c r="A571" t="s">
        <v>92</v>
      </c>
    </row>
    <row r="572" spans="1:1" x14ac:dyDescent="0.2">
      <c r="A572" t="s">
        <v>92</v>
      </c>
    </row>
    <row r="573" spans="1:1" x14ac:dyDescent="0.2">
      <c r="A573" t="s">
        <v>92</v>
      </c>
    </row>
    <row r="574" spans="1:1" x14ac:dyDescent="0.2">
      <c r="A574" t="s">
        <v>94</v>
      </c>
    </row>
    <row r="575" spans="1:1" x14ac:dyDescent="0.2">
      <c r="A575" t="s">
        <v>86</v>
      </c>
    </row>
    <row r="576" spans="1:1" x14ac:dyDescent="0.2">
      <c r="A576" t="s">
        <v>92</v>
      </c>
    </row>
    <row r="577" spans="1:1" x14ac:dyDescent="0.2">
      <c r="A577" t="s">
        <v>92</v>
      </c>
    </row>
    <row r="578" spans="1:1" x14ac:dyDescent="0.2">
      <c r="A578" t="s">
        <v>92</v>
      </c>
    </row>
    <row r="579" spans="1:1" x14ac:dyDescent="0.2">
      <c r="A579" t="s">
        <v>93</v>
      </c>
    </row>
    <row r="580" spans="1:1" x14ac:dyDescent="0.2">
      <c r="A580" t="s">
        <v>92</v>
      </c>
    </row>
    <row r="581" spans="1:1" x14ac:dyDescent="0.2">
      <c r="A581" t="s">
        <v>92</v>
      </c>
    </row>
    <row r="582" spans="1:1" x14ac:dyDescent="0.2">
      <c r="A582" t="s">
        <v>92</v>
      </c>
    </row>
    <row r="583" spans="1:1" x14ac:dyDescent="0.2">
      <c r="A583" t="s">
        <v>92</v>
      </c>
    </row>
    <row r="584" spans="1:1" x14ac:dyDescent="0.2">
      <c r="A584" t="s">
        <v>93</v>
      </c>
    </row>
    <row r="585" spans="1:1" x14ac:dyDescent="0.2">
      <c r="A585" t="s">
        <v>92</v>
      </c>
    </row>
    <row r="586" spans="1:1" x14ac:dyDescent="0.2">
      <c r="A586" t="s">
        <v>61</v>
      </c>
    </row>
    <row r="587" spans="1:1" x14ac:dyDescent="0.2">
      <c r="A587" t="s">
        <v>62</v>
      </c>
    </row>
    <row r="588" spans="1:1" x14ac:dyDescent="0.2">
      <c r="A588" t="s">
        <v>61</v>
      </c>
    </row>
    <row r="589" spans="1:1" x14ac:dyDescent="0.2">
      <c r="A589" t="s">
        <v>61</v>
      </c>
    </row>
    <row r="590" spans="1:1" x14ac:dyDescent="0.2">
      <c r="A590" t="s">
        <v>61</v>
      </c>
    </row>
    <row r="591" spans="1:1" x14ac:dyDescent="0.2">
      <c r="A591" t="s">
        <v>61</v>
      </c>
    </row>
    <row r="592" spans="1:1" x14ac:dyDescent="0.2">
      <c r="A592" t="s">
        <v>61</v>
      </c>
    </row>
    <row r="593" spans="1:1" x14ac:dyDescent="0.2">
      <c r="A593" t="s">
        <v>61</v>
      </c>
    </row>
    <row r="594" spans="1:1" x14ac:dyDescent="0.2">
      <c r="A594" t="s">
        <v>62</v>
      </c>
    </row>
    <row r="595" spans="1:1" x14ac:dyDescent="0.2">
      <c r="A595" t="s">
        <v>61</v>
      </c>
    </row>
    <row r="596" spans="1:1" x14ac:dyDescent="0.2">
      <c r="A596" t="s">
        <v>61</v>
      </c>
    </row>
    <row r="597" spans="1:1" x14ac:dyDescent="0.2">
      <c r="A597" t="s">
        <v>61</v>
      </c>
    </row>
    <row r="598" spans="1:1" x14ac:dyDescent="0.2">
      <c r="A598" t="s">
        <v>61</v>
      </c>
    </row>
    <row r="599" spans="1:1" x14ac:dyDescent="0.2">
      <c r="A599" t="s">
        <v>62</v>
      </c>
    </row>
    <row r="600" spans="1:1" x14ac:dyDescent="0.2">
      <c r="A600" t="s">
        <v>61</v>
      </c>
    </row>
    <row r="601" spans="1:1" x14ac:dyDescent="0.2">
      <c r="A601" t="s">
        <v>63</v>
      </c>
    </row>
    <row r="602" spans="1:1" x14ac:dyDescent="0.2">
      <c r="A602" t="s">
        <v>64</v>
      </c>
    </row>
    <row r="603" spans="1:1" x14ac:dyDescent="0.2">
      <c r="A603" t="s">
        <v>64</v>
      </c>
    </row>
    <row r="604" spans="1:1" x14ac:dyDescent="0.2">
      <c r="A604" t="s">
        <v>64</v>
      </c>
    </row>
    <row r="605" spans="1:1" x14ac:dyDescent="0.2">
      <c r="A605" t="s">
        <v>63</v>
      </c>
    </row>
    <row r="606" spans="1:1" x14ac:dyDescent="0.2">
      <c r="A606" t="s">
        <v>63</v>
      </c>
    </row>
    <row r="607" spans="1:1" x14ac:dyDescent="0.2">
      <c r="A607" t="s">
        <v>63</v>
      </c>
    </row>
    <row r="608" spans="1:1" x14ac:dyDescent="0.2">
      <c r="A608" t="s">
        <v>63</v>
      </c>
    </row>
    <row r="609" spans="1:1" x14ac:dyDescent="0.2">
      <c r="A609" t="s">
        <v>65</v>
      </c>
    </row>
    <row r="610" spans="1:1" x14ac:dyDescent="0.2">
      <c r="A610" t="s">
        <v>66</v>
      </c>
    </row>
    <row r="611" spans="1:1" x14ac:dyDescent="0.2">
      <c r="A611" t="s">
        <v>67</v>
      </c>
    </row>
    <row r="612" spans="1:1" x14ac:dyDescent="0.2">
      <c r="A612" t="s">
        <v>64</v>
      </c>
    </row>
    <row r="613" spans="1:1" x14ac:dyDescent="0.2">
      <c r="A613" t="s">
        <v>63</v>
      </c>
    </row>
    <row r="614" spans="1:1" x14ac:dyDescent="0.2">
      <c r="A614" t="s">
        <v>63</v>
      </c>
    </row>
    <row r="615" spans="1:1" x14ac:dyDescent="0.2">
      <c r="A615" t="s">
        <v>63</v>
      </c>
    </row>
    <row r="616" spans="1:1" x14ac:dyDescent="0.2">
      <c r="A616" t="s">
        <v>63</v>
      </c>
    </row>
    <row r="617" spans="1:1" x14ac:dyDescent="0.2">
      <c r="A617" t="s">
        <v>65</v>
      </c>
    </row>
    <row r="618" spans="1:1" x14ac:dyDescent="0.2">
      <c r="A618" t="s">
        <v>66</v>
      </c>
    </row>
    <row r="619" spans="1:1" x14ac:dyDescent="0.2">
      <c r="A619" t="s">
        <v>67</v>
      </c>
    </row>
    <row r="620" spans="1:1" x14ac:dyDescent="0.2">
      <c r="A620" t="s">
        <v>68</v>
      </c>
    </row>
    <row r="621" spans="1:1" x14ac:dyDescent="0.2">
      <c r="A621" t="s">
        <v>69</v>
      </c>
    </row>
    <row r="622" spans="1:1" x14ac:dyDescent="0.2">
      <c r="A622" t="s">
        <v>68</v>
      </c>
    </row>
    <row r="623" spans="1:1" x14ac:dyDescent="0.2">
      <c r="A623" t="s">
        <v>69</v>
      </c>
    </row>
    <row r="624" spans="1:1" x14ac:dyDescent="0.2">
      <c r="A624" t="s">
        <v>70</v>
      </c>
    </row>
    <row r="625" spans="1:1" x14ac:dyDescent="0.2">
      <c r="A625" t="s">
        <v>71</v>
      </c>
    </row>
    <row r="626" spans="1:1" x14ac:dyDescent="0.2">
      <c r="A626" t="s">
        <v>70</v>
      </c>
    </row>
    <row r="627" spans="1:1" x14ac:dyDescent="0.2">
      <c r="A627" t="s">
        <v>70</v>
      </c>
    </row>
    <row r="628" spans="1:1" x14ac:dyDescent="0.2">
      <c r="A628" t="s">
        <v>70</v>
      </c>
    </row>
    <row r="629" spans="1:1" x14ac:dyDescent="0.2">
      <c r="A629" t="s">
        <v>72</v>
      </c>
    </row>
    <row r="630" spans="1:1" x14ac:dyDescent="0.2">
      <c r="A630" t="s">
        <v>70</v>
      </c>
    </row>
    <row r="631" spans="1:1" x14ac:dyDescent="0.2">
      <c r="A631" t="s">
        <v>70</v>
      </c>
    </row>
    <row r="632" spans="1:1" x14ac:dyDescent="0.2">
      <c r="A632" t="s">
        <v>70</v>
      </c>
    </row>
    <row r="633" spans="1:1" x14ac:dyDescent="0.2">
      <c r="A633" t="s">
        <v>71</v>
      </c>
    </row>
    <row r="634" spans="1:1" x14ac:dyDescent="0.2">
      <c r="A634" t="s">
        <v>70</v>
      </c>
    </row>
    <row r="635" spans="1:1" x14ac:dyDescent="0.2">
      <c r="A635" t="s">
        <v>70</v>
      </c>
    </row>
    <row r="636" spans="1:1" x14ac:dyDescent="0.2">
      <c r="A636" t="s">
        <v>70</v>
      </c>
    </row>
    <row r="637" spans="1:1" x14ac:dyDescent="0.2">
      <c r="A637" t="s">
        <v>70</v>
      </c>
    </row>
    <row r="638" spans="1:1" x14ac:dyDescent="0.2">
      <c r="A638" t="s">
        <v>71</v>
      </c>
    </row>
    <row r="639" spans="1:1" x14ac:dyDescent="0.2">
      <c r="A639" t="s">
        <v>70</v>
      </c>
    </row>
    <row r="640" spans="1:1" x14ac:dyDescent="0.2">
      <c r="A640" t="s">
        <v>73</v>
      </c>
    </row>
    <row r="641" spans="1:1" x14ac:dyDescent="0.2">
      <c r="A641" t="s">
        <v>74</v>
      </c>
    </row>
    <row r="642" spans="1:1" x14ac:dyDescent="0.2">
      <c r="A642" t="s">
        <v>74</v>
      </c>
    </row>
    <row r="643" spans="1:1" x14ac:dyDescent="0.2">
      <c r="A643" t="s">
        <v>75</v>
      </c>
    </row>
    <row r="644" spans="1:1" x14ac:dyDescent="0.2">
      <c r="A644" t="s">
        <v>75</v>
      </c>
    </row>
    <row r="645" spans="1:1" x14ac:dyDescent="0.2">
      <c r="A645" t="s">
        <v>74</v>
      </c>
    </row>
    <row r="646" spans="1:1" x14ac:dyDescent="0.2">
      <c r="A646" t="s">
        <v>73</v>
      </c>
    </row>
    <row r="647" spans="1:1" x14ac:dyDescent="0.2">
      <c r="A647" t="s">
        <v>73</v>
      </c>
    </row>
    <row r="648" spans="1:1" x14ac:dyDescent="0.2">
      <c r="A648" t="s">
        <v>73</v>
      </c>
    </row>
    <row r="649" spans="1:1" x14ac:dyDescent="0.2">
      <c r="A649" t="s">
        <v>73</v>
      </c>
    </row>
    <row r="650" spans="1:1" x14ac:dyDescent="0.2">
      <c r="A650" t="s">
        <v>76</v>
      </c>
    </row>
    <row r="651" spans="1:1" x14ac:dyDescent="0.2">
      <c r="A651" t="s">
        <v>77</v>
      </c>
    </row>
    <row r="652" spans="1:1" x14ac:dyDescent="0.2">
      <c r="A652" t="s">
        <v>78</v>
      </c>
    </row>
    <row r="653" spans="1:1" x14ac:dyDescent="0.2">
      <c r="A653" t="s">
        <v>75</v>
      </c>
    </row>
    <row r="654" spans="1:1" x14ac:dyDescent="0.2">
      <c r="A654" t="s">
        <v>75</v>
      </c>
    </row>
    <row r="655" spans="1:1" x14ac:dyDescent="0.2">
      <c r="A655" t="s">
        <v>74</v>
      </c>
    </row>
    <row r="656" spans="1:1" x14ac:dyDescent="0.2">
      <c r="A656" t="s">
        <v>73</v>
      </c>
    </row>
    <row r="657" spans="1:1" x14ac:dyDescent="0.2">
      <c r="A657" t="s">
        <v>73</v>
      </c>
    </row>
    <row r="658" spans="1:1" x14ac:dyDescent="0.2">
      <c r="A658" t="s">
        <v>73</v>
      </c>
    </row>
    <row r="659" spans="1:1" x14ac:dyDescent="0.2">
      <c r="A659" t="s">
        <v>73</v>
      </c>
    </row>
    <row r="660" spans="1:1" x14ac:dyDescent="0.2">
      <c r="A660" t="s">
        <v>76</v>
      </c>
    </row>
    <row r="661" spans="1:1" x14ac:dyDescent="0.2">
      <c r="A661" t="s">
        <v>77</v>
      </c>
    </row>
    <row r="662" spans="1:1" x14ac:dyDescent="0.2">
      <c r="A662" t="s">
        <v>78</v>
      </c>
    </row>
    <row r="663" spans="1:1" x14ac:dyDescent="0.2">
      <c r="A663" t="s">
        <v>79</v>
      </c>
    </row>
    <row r="664" spans="1:1" x14ac:dyDescent="0.2">
      <c r="A664" t="s">
        <v>80</v>
      </c>
    </row>
    <row r="665" spans="1:1" x14ac:dyDescent="0.2">
      <c r="A665" t="s">
        <v>79</v>
      </c>
    </row>
    <row r="666" spans="1:1" x14ac:dyDescent="0.2">
      <c r="A666" t="s">
        <v>80</v>
      </c>
    </row>
    <row r="667" spans="1:1" x14ac:dyDescent="0.2">
      <c r="A667" t="s">
        <v>81</v>
      </c>
    </row>
    <row r="668" spans="1:1" x14ac:dyDescent="0.2">
      <c r="A668" t="s">
        <v>75</v>
      </c>
    </row>
    <row r="669" spans="1:1" x14ac:dyDescent="0.2">
      <c r="A669" t="s">
        <v>75</v>
      </c>
    </row>
    <row r="670" spans="1:1" x14ac:dyDescent="0.2">
      <c r="A670" t="s">
        <v>82</v>
      </c>
    </row>
    <row r="671" spans="1:1" x14ac:dyDescent="0.2">
      <c r="A671" t="s">
        <v>81</v>
      </c>
    </row>
    <row r="672" spans="1:1" x14ac:dyDescent="0.2">
      <c r="A672" t="s">
        <v>81</v>
      </c>
    </row>
    <row r="673" spans="1:1" x14ac:dyDescent="0.2">
      <c r="A673" t="s">
        <v>81</v>
      </c>
    </row>
    <row r="674" spans="1:1" x14ac:dyDescent="0.2">
      <c r="A674" t="s">
        <v>83</v>
      </c>
    </row>
    <row r="675" spans="1:1" x14ac:dyDescent="0.2">
      <c r="A675" t="s">
        <v>75</v>
      </c>
    </row>
    <row r="676" spans="1:1" x14ac:dyDescent="0.2">
      <c r="A676" t="s">
        <v>81</v>
      </c>
    </row>
    <row r="677" spans="1:1" x14ac:dyDescent="0.2">
      <c r="A677" t="s">
        <v>81</v>
      </c>
    </row>
    <row r="678" spans="1:1" x14ac:dyDescent="0.2">
      <c r="A678" t="s">
        <v>81</v>
      </c>
    </row>
    <row r="679" spans="1:1" x14ac:dyDescent="0.2">
      <c r="A679" t="s">
        <v>82</v>
      </c>
    </row>
    <row r="680" spans="1:1" x14ac:dyDescent="0.2">
      <c r="A680" t="s">
        <v>81</v>
      </c>
    </row>
    <row r="681" spans="1:1" x14ac:dyDescent="0.2">
      <c r="A681" t="s">
        <v>81</v>
      </c>
    </row>
    <row r="682" spans="1:1" x14ac:dyDescent="0.2">
      <c r="A682" t="s">
        <v>81</v>
      </c>
    </row>
    <row r="683" spans="1:1" x14ac:dyDescent="0.2">
      <c r="A683" t="s">
        <v>81</v>
      </c>
    </row>
    <row r="684" spans="1:1" x14ac:dyDescent="0.2">
      <c r="A684" t="s">
        <v>82</v>
      </c>
    </row>
    <row r="685" spans="1:1" x14ac:dyDescent="0.2">
      <c r="A685" t="s">
        <v>81</v>
      </c>
    </row>
    <row r="686" spans="1:1" x14ac:dyDescent="0.2">
      <c r="A686" t="s">
        <v>84</v>
      </c>
    </row>
    <row r="687" spans="1:1" x14ac:dyDescent="0.2">
      <c r="A687" t="s">
        <v>85</v>
      </c>
    </row>
    <row r="688" spans="1:1" x14ac:dyDescent="0.2">
      <c r="A688" t="s">
        <v>85</v>
      </c>
    </row>
    <row r="689" spans="1:1" x14ac:dyDescent="0.2">
      <c r="A689" t="s">
        <v>86</v>
      </c>
    </row>
    <row r="690" spans="1:1" x14ac:dyDescent="0.2">
      <c r="A690" t="s">
        <v>86</v>
      </c>
    </row>
    <row r="691" spans="1:1" x14ac:dyDescent="0.2">
      <c r="A691" t="s">
        <v>85</v>
      </c>
    </row>
    <row r="692" spans="1:1" x14ac:dyDescent="0.2">
      <c r="A692" t="s">
        <v>84</v>
      </c>
    </row>
    <row r="693" spans="1:1" x14ac:dyDescent="0.2">
      <c r="A693" t="s">
        <v>84</v>
      </c>
    </row>
    <row r="694" spans="1:1" x14ac:dyDescent="0.2">
      <c r="A694" t="s">
        <v>84</v>
      </c>
    </row>
    <row r="695" spans="1:1" x14ac:dyDescent="0.2">
      <c r="A695" t="s">
        <v>84</v>
      </c>
    </row>
    <row r="696" spans="1:1" x14ac:dyDescent="0.2">
      <c r="A696" t="s">
        <v>87</v>
      </c>
    </row>
    <row r="697" spans="1:1" x14ac:dyDescent="0.2">
      <c r="A697" t="s">
        <v>88</v>
      </c>
    </row>
    <row r="698" spans="1:1" x14ac:dyDescent="0.2">
      <c r="A698" t="s">
        <v>89</v>
      </c>
    </row>
    <row r="699" spans="1:1" x14ac:dyDescent="0.2">
      <c r="A699" t="s">
        <v>86</v>
      </c>
    </row>
    <row r="700" spans="1:1" x14ac:dyDescent="0.2">
      <c r="A700" t="s">
        <v>86</v>
      </c>
    </row>
    <row r="701" spans="1:1" x14ac:dyDescent="0.2">
      <c r="A701" t="s">
        <v>85</v>
      </c>
    </row>
    <row r="702" spans="1:1" x14ac:dyDescent="0.2">
      <c r="A702" t="s">
        <v>84</v>
      </c>
    </row>
    <row r="703" spans="1:1" x14ac:dyDescent="0.2">
      <c r="A703" t="s">
        <v>84</v>
      </c>
    </row>
    <row r="704" spans="1:1" x14ac:dyDescent="0.2">
      <c r="A704" t="s">
        <v>84</v>
      </c>
    </row>
    <row r="705" spans="1:1" x14ac:dyDescent="0.2">
      <c r="A705" t="s">
        <v>84</v>
      </c>
    </row>
    <row r="706" spans="1:1" x14ac:dyDescent="0.2">
      <c r="A706" t="s">
        <v>87</v>
      </c>
    </row>
    <row r="707" spans="1:1" x14ac:dyDescent="0.2">
      <c r="A707" t="s">
        <v>88</v>
      </c>
    </row>
    <row r="708" spans="1:1" x14ac:dyDescent="0.2">
      <c r="A708" t="s">
        <v>89</v>
      </c>
    </row>
    <row r="709" spans="1:1" x14ac:dyDescent="0.2">
      <c r="A709" t="s">
        <v>90</v>
      </c>
    </row>
    <row r="710" spans="1:1" x14ac:dyDescent="0.2">
      <c r="A710" t="s">
        <v>91</v>
      </c>
    </row>
    <row r="711" spans="1:1" x14ac:dyDescent="0.2">
      <c r="A711" t="s">
        <v>90</v>
      </c>
    </row>
    <row r="712" spans="1:1" x14ac:dyDescent="0.2">
      <c r="A712" t="s">
        <v>91</v>
      </c>
    </row>
    <row r="713" spans="1:1" x14ac:dyDescent="0.2">
      <c r="A713" t="s">
        <v>92</v>
      </c>
    </row>
    <row r="714" spans="1:1" x14ac:dyDescent="0.2">
      <c r="A714" t="s">
        <v>86</v>
      </c>
    </row>
    <row r="715" spans="1:1" x14ac:dyDescent="0.2">
      <c r="A715" t="s">
        <v>86</v>
      </c>
    </row>
    <row r="716" spans="1:1" x14ac:dyDescent="0.2">
      <c r="A716" t="s">
        <v>93</v>
      </c>
    </row>
    <row r="717" spans="1:1" x14ac:dyDescent="0.2">
      <c r="A717" t="s">
        <v>92</v>
      </c>
    </row>
    <row r="718" spans="1:1" x14ac:dyDescent="0.2">
      <c r="A718" t="s">
        <v>92</v>
      </c>
    </row>
    <row r="719" spans="1:1" x14ac:dyDescent="0.2">
      <c r="A719" t="s">
        <v>92</v>
      </c>
    </row>
    <row r="720" spans="1:1" x14ac:dyDescent="0.2">
      <c r="A720" t="s">
        <v>94</v>
      </c>
    </row>
    <row r="721" spans="1:1" x14ac:dyDescent="0.2">
      <c r="A721" t="s">
        <v>86</v>
      </c>
    </row>
    <row r="722" spans="1:1" x14ac:dyDescent="0.2">
      <c r="A722" t="s">
        <v>92</v>
      </c>
    </row>
    <row r="723" spans="1:1" x14ac:dyDescent="0.2">
      <c r="A723" t="s">
        <v>92</v>
      </c>
    </row>
    <row r="724" spans="1:1" x14ac:dyDescent="0.2">
      <c r="A724" t="s">
        <v>92</v>
      </c>
    </row>
    <row r="725" spans="1:1" x14ac:dyDescent="0.2">
      <c r="A725" t="s">
        <v>93</v>
      </c>
    </row>
    <row r="726" spans="1:1" x14ac:dyDescent="0.2">
      <c r="A726" t="s">
        <v>92</v>
      </c>
    </row>
    <row r="727" spans="1:1" x14ac:dyDescent="0.2">
      <c r="A727" t="s">
        <v>92</v>
      </c>
    </row>
    <row r="728" spans="1:1" x14ac:dyDescent="0.2">
      <c r="A728" t="s">
        <v>92</v>
      </c>
    </row>
    <row r="729" spans="1:1" x14ac:dyDescent="0.2">
      <c r="A729" t="s">
        <v>92</v>
      </c>
    </row>
    <row r="730" spans="1:1" x14ac:dyDescent="0.2">
      <c r="A730" t="s">
        <v>93</v>
      </c>
    </row>
    <row r="731" spans="1:1" x14ac:dyDescent="0.2">
      <c r="A731" t="s">
        <v>92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2:I6"/>
  <sheetViews>
    <sheetView workbookViewId="0">
      <selection activeCell="H2" sqref="H2"/>
    </sheetView>
  </sheetViews>
  <sheetFormatPr defaultRowHeight="12.75" x14ac:dyDescent="0.2"/>
  <cols>
    <col min="1" max="1" width="19" customWidth="1"/>
    <col min="2" max="3" width="9.140625" customWidth="1"/>
    <col min="4" max="4" width="12" bestFit="1" customWidth="1"/>
    <col min="5" max="5" width="9.140625" customWidth="1"/>
    <col min="6" max="6" width="10.5703125" customWidth="1"/>
    <col min="7" max="256" width="11.42578125" customWidth="1"/>
  </cols>
  <sheetData>
    <row r="2" spans="1:9" ht="15.75" x14ac:dyDescent="0.25">
      <c r="A2" s="103" t="s">
        <v>37</v>
      </c>
      <c r="B2" s="107"/>
      <c r="C2" s="108"/>
      <c r="D2" s="109"/>
      <c r="E2" s="110"/>
      <c r="F2" s="103"/>
      <c r="G2" s="103"/>
      <c r="H2" s="102"/>
      <c r="I2" s="136"/>
    </row>
    <row r="3" spans="1:9" ht="15.75" x14ac:dyDescent="0.25">
      <c r="A3" s="103" t="s">
        <v>38</v>
      </c>
      <c r="B3" s="107"/>
      <c r="C3" s="108"/>
      <c r="D3" s="103"/>
      <c r="E3" s="110"/>
      <c r="F3" s="103"/>
      <c r="G3" s="103"/>
      <c r="H3" s="102"/>
      <c r="I3" s="111"/>
    </row>
    <row r="4" spans="1:9" ht="15.75" x14ac:dyDescent="0.25">
      <c r="A4" s="103" t="str">
        <f>"Dato: "</f>
        <v xml:space="preserve">Dato: </v>
      </c>
      <c r="D4" s="137"/>
      <c r="E4" s="137"/>
      <c r="G4" s="138"/>
      <c r="H4" s="138"/>
      <c r="I4" s="103"/>
    </row>
    <row r="5" spans="1:9" x14ac:dyDescent="0.2">
      <c r="A5" s="759">
        <f ca="1">NOW()</f>
        <v>45685.911199189817</v>
      </c>
      <c r="B5" s="760"/>
      <c r="C5" s="760"/>
      <c r="D5" s="760"/>
      <c r="E5" s="760"/>
    </row>
    <row r="6" spans="1:9" x14ac:dyDescent="0.2">
      <c r="B6" t="s">
        <v>39</v>
      </c>
    </row>
  </sheetData>
  <mergeCells count="1">
    <mergeCell ref="A5:E5"/>
  </mergeCells>
  <phoneticPr fontId="29" type="noConversion"/>
  <pageMargins left="0.75" right="0.75" top="1" bottom="1" header="0.5" footer="0.5"/>
  <headerFooter alignWithMargins="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p:Policy xmlns:p="office.server.policy" id="" local="true">
  <p:Name>KvalSys Dokument</p:Name>
  <p:Description/>
  <p:Statement/>
  <p:PolicyItems>
    <p:PolicyItem featureId="Microsoft.Office.RecordsManagement.PolicyFeatures.PolicyLabel" staticId="0x010100A00E33A8A159294398DFA5E4CF83DA0800376A4DDDD39E734CA3F399CD8516E9B4|801092262" UniqueId="ba1ba9a6-f472-456a-9c62-3b855dc0e03b">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2.xml><?xml version="1.0" encoding="utf-8"?>
<?mso-contentType ?>
<customXsn xmlns="http://schemas.microsoft.com/office/2006/metadata/customXsn">
  <xsnLocation/>
  <cached>True</cached>
  <openByDefault>False</openByDefault>
  <xsnScope/>
</customXsn>
</file>

<file path=customXml/item3.xml><?xml version="1.0" encoding="utf-8"?>
<ct:contentTypeSchema xmlns:ct="http://schemas.microsoft.com/office/2006/metadata/contentType" xmlns:ma="http://schemas.microsoft.com/office/2006/metadata/properties/metaAttributes" ct:_="" ma:_="" ma:contentTypeName="KvalSys Dokument" ma:contentTypeID="0x010100A00E33A8A159294398DFA5E4CF83DA0800376A4DDDD39E734CA3F399CD8516E9B4" ma:contentTypeVersion="98" ma:contentTypeDescription="Kvalsys Rutine" ma:contentTypeScope="" ma:versionID="38788689fc38f1bef357064f47fb0e3b">
  <xsd:schema xmlns:xsd="http://www.w3.org/2001/XMLSchema" xmlns:xs="http://www.w3.org/2001/XMLSchema" xmlns:p="http://schemas.microsoft.com/office/2006/metadata/properties" xmlns:ns1="http://schemas.microsoft.com/sharepoint/v3" xmlns:ns2="http://schemas.microsoft.com/sharepoint/v3/fields" xmlns:ns3="2bd7c63c-edee-4218-9428-7a2e386f2d25" xmlns:ns4="be1130ba-2c37-491a-b27d-378e609cbe32" xmlns:ns5="0b4aa1c1-2690-4de5-bbbc-335b28cd871a" targetNamespace="http://schemas.microsoft.com/office/2006/metadata/properties" ma:root="true" ma:fieldsID="3c1fa26cc49bab624c21714f9305c22b" ns1:_="" ns2:_="" ns3:_="" ns4:_="" ns5:_="">
    <xsd:import namespace="http://schemas.microsoft.com/sharepoint/v3"/>
    <xsd:import namespace="http://schemas.microsoft.com/sharepoint/v3/fields"/>
    <xsd:import namespace="2bd7c63c-edee-4218-9428-7a2e386f2d25"/>
    <xsd:import namespace="be1130ba-2c37-491a-b27d-378e609cbe32"/>
    <xsd:import namespace="0b4aa1c1-2690-4de5-bbbc-335b28cd871a"/>
    <xsd:element name="properties">
      <xsd:complexType>
        <xsd:sequence>
          <xsd:element name="documentManagement">
            <xsd:complexType>
              <xsd:all>
                <xsd:element ref="ns2:_DCDateModified" minOccurs="0"/>
                <xsd:element ref="ns3:Dokstatus" minOccurs="0"/>
                <xsd:element ref="ns3:Dokumenttype"/>
                <xsd:element ref="ns3:Eier" minOccurs="0"/>
                <xsd:element ref="ns3:RevAnsvarlig" minOccurs="0"/>
                <xsd:element ref="ns3:Fag" minOccurs="0"/>
                <xsd:element ref="ns3:Fase" minOccurs="0"/>
                <xsd:element ref="ns3:Mapper" minOccurs="0"/>
                <xsd:element ref="ns3:fokus" minOccurs="0"/>
                <xsd:element ref="ns3:HvorIFokus" minOccurs="0"/>
                <xsd:element ref="ns3:Kommentar" minOccurs="0"/>
                <xsd:element ref="ns3:Kvalsysnr" minOccurs="0"/>
                <xsd:element ref="ns3:Virkomrade" minOccurs="0"/>
                <xsd:element ref="ns4:AdminFunk" minOccurs="0"/>
                <xsd:element ref="ns4:Adressetest" minOccurs="0"/>
                <xsd:element ref="ns4:FooterFaktadr" minOccurs="0"/>
                <xsd:element ref="ns4:Selskapsinfo" minOccurs="0"/>
                <xsd:element ref="ns4:Referanse" minOccurs="0"/>
                <xsd:element ref="ns3:Obligatorisk" minOccurs="0"/>
                <xsd:element ref="ns3:Kontraktstandard" minOccurs="0"/>
                <xsd:element ref="ns3:AddWithPPWizard" minOccurs="0"/>
                <xsd:element ref="ns3:Egenskaper" minOccurs="0"/>
                <xsd:element ref="ns2:_DCDateCreated" minOccurs="0"/>
                <xsd:element ref="ns3:TaxCatchAllLabel" minOccurs="0"/>
                <xsd:element ref="ns5:mb7740bf0ebb4c2ba18d41cd45ea0cf8" minOccurs="0"/>
                <xsd:element ref="ns3:TaxCatchAll" minOccurs="0"/>
                <xsd:element ref="ns5:SharedWithUsers" minOccurs="0"/>
                <xsd:element ref="ns5:SharedWithDetails" minOccurs="0"/>
                <xsd:element ref="ns1:_dlc_Exempt" minOccurs="0"/>
                <xsd:element ref="ns4:DLCPolicyLabelValue" minOccurs="0"/>
                <xsd:element ref="ns4:DLCPolicyLabelClientValue" minOccurs="0"/>
                <xsd:element ref="ns4:DLCPolicyLabelLock" minOccurs="0"/>
                <xsd:element ref="ns4:MediaServiceMetadata" minOccurs="0"/>
                <xsd:element ref="ns4:MediaServiceFastMetadata" minOccurs="0"/>
                <xsd:element ref="ns4:MediaServiceAutoTags" minOccurs="0"/>
                <xsd:element ref="ns4:MediaServiceDateTaken" minOccurs="0"/>
                <xsd:element ref="ns4:IFS" minOccurs="0"/>
                <xsd:element ref="ns4:MediaServiceAutoKeyPoints" minOccurs="0"/>
                <xsd:element ref="ns4:MediaServiceKeyPoints" minOccurs="0"/>
                <xsd:element ref="ns4:Send_x0020_dokument_x0020_til_x0020_Utg_x00e5_tte_x0020_Dokument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empt" ma:index="38" nillable="true" ma:displayName="Exempt from Policy" ma:description=""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2" nillable="true" ma:displayName="Date Modified" ma:description="The date on which this resource was last modified" ma:format="DateOnly" ma:internalName="_DCDateModified" ma:readOnly="false">
      <xsd:simpleType>
        <xsd:restriction base="dms:DateTime"/>
      </xsd:simpleType>
    </xsd:element>
    <xsd:element name="_DCDateCreated" ma:index="25" nillable="true" ma:displayName="Date Created" ma:description="The date on which this resource was created" ma:format="DateOnly" ma:internalName="_DCDateCreated" ma:readOnly="fals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bd7c63c-edee-4218-9428-7a2e386f2d25" elementFormDefault="qualified">
    <xsd:import namespace="http://schemas.microsoft.com/office/2006/documentManagement/types"/>
    <xsd:import namespace="http://schemas.microsoft.com/office/infopath/2007/PartnerControls"/>
    <xsd:element name="Dokstatus" ma:index="3" nillable="true" ma:displayName="Dokstatus" ma:default="Ikke publisert" ma:format="Dropdown" ma:internalName="Dokstatus" ma:readOnly="false">
      <xsd:simpleType>
        <xsd:restriction base="dms:Choice">
          <xsd:enumeration value="Ikke publisert"/>
          <xsd:enumeration value="Publisert"/>
          <xsd:enumeration value="Utgått"/>
        </xsd:restriction>
      </xsd:simpleType>
    </xsd:element>
    <xsd:element name="Dokumenttype" ma:index="4" ma:displayName="Dokumenttype" ma:format="Dropdown" ma:indexed="true" ma:internalName="Dokumenttype" ma:readOnly="false">
      <xsd:simpleType>
        <xsd:restriction base="dms:Choice">
          <xsd:enumeration value="&lt;velg&gt;"/>
          <xsd:enumeration value="Rutine"/>
          <xsd:enumeration value="Hjelpemiddel"/>
          <xsd:enumeration value="Sjekkliste"/>
        </xsd:restriction>
      </xsd:simpleType>
    </xsd:element>
    <xsd:element name="Eier" ma:index="5" nillable="true" ma:displayName="Eier" ma:list="UserInfo" ma:SearchPeopleOnly="false" ma:SharePointGroup="0" ma:internalName="Ei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Ansvarlig" ma:index="6" nillable="true" ma:displayName="RevAnsvarlig" ma:list="UserInfo" ma:SearchPeopleOnly="false" ma:SharePointGroup="0" ma:internalName="RevAnsvarlig"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ag" ma:index="7" nillable="true" ma:displayName="Fag" ma:internalName="Fag" ma:readOnly="false">
      <xsd:complexType>
        <xsd:complexContent>
          <xsd:extension base="dms:MultiChoice">
            <xsd:sequence>
              <xsd:element name="Value" maxOccurs="unbounded" minOccurs="0" nillable="true">
                <xsd:simpleType>
                  <xsd:restriction base="dms:Choice">
                    <xsd:enumeration value="Ventilasjon"/>
                    <xsd:enumeration value="Byggautomasjon"/>
                    <xsd:enumeration value="Kulde"/>
                    <xsd:enumeration value="Energi"/>
                    <xsd:enumeration value="Elektro"/>
                    <xsd:enumeration value="Renrom"/>
                    <xsd:enumeration value="Rør"/>
                    <xsd:enumeration value="Prosjektering"/>
                    <xsd:enumeration value="Sikkerhet"/>
                  </xsd:restriction>
                </xsd:simpleType>
              </xsd:element>
            </xsd:sequence>
          </xsd:extension>
        </xsd:complexContent>
      </xsd:complexType>
    </xsd:element>
    <xsd:element name="Fase" ma:index="8" nillable="true" ma:displayName="Fase" ma:internalName="Fase" ma:readOnly="false">
      <xsd:complexType>
        <xsd:complexContent>
          <xsd:extension base="dms:MultiChoice">
            <xsd:sequence>
              <xsd:element name="Value" maxOccurs="unbounded" minOccurs="0" nillable="true">
                <xsd:simpleType>
                  <xsd:restriction base="dms:Choice">
                    <xsd:enumeration value="Fase 0"/>
                    <xsd:enumeration value="Fase 1 - Salg"/>
                    <xsd:enumeration value="Fase 2 - Kontrakt"/>
                    <xsd:enumeration value="Fase 3 - Planlegging"/>
                    <xsd:enumeration value="Fase 4 - Forprosjektering"/>
                    <xsd:enumeration value="Fase 5 - Prosjektering"/>
                    <xsd:enumeration value="Fase 6 - Produksjon"/>
                    <xsd:enumeration value="Fase 7 - Igangkjørning"/>
                    <xsd:enumeration value="Fase 8 - Overlevering"/>
                    <xsd:enumeration value="Fase 9 - Reklamasjonstid"/>
                    <xsd:enumeration value="Fase 10 - Salg"/>
                    <xsd:enumeration value="Fase 11 - Avtale"/>
                    <xsd:enumeration value="Fase 12 - Analyse"/>
                    <xsd:enumeration value="Fase 13 - Planlegging"/>
                    <xsd:enumeration value="Fase 14 - Produksjon"/>
                    <xsd:enumeration value="Fase 15 - Rapportering"/>
                  </xsd:restriction>
                </xsd:simpleType>
              </xsd:element>
            </xsd:sequence>
          </xsd:extension>
        </xsd:complexContent>
      </xsd:complexType>
    </xsd:element>
    <xsd:element name="Mapper" ma:index="9" nillable="true" ma:displayName="Mapper" ma:internalName="Mapper" ma:readOnly="false">
      <xsd:complexType>
        <xsd:complexContent>
          <xsd:extension base="dms:MultiChoice">
            <xsd:sequence>
              <xsd:element name="Value" maxOccurs="unbounded" minOccurs="0" nillable="true">
                <xsd:simpleType>
                  <xsd:restriction base="dms:Choice">
                    <xsd:enumeration value="Byggeplassmappe"/>
                    <xsd:enumeration value="Blanketter byggesak"/>
                    <xsd:enumeration value="Engelske dokumenter"/>
                    <xsd:enumeration value="Firma Policies"/>
                    <xsd:enumeration value="HMS-mappe"/>
                    <xsd:enumeration value="Kalkyler Service"/>
                    <xsd:enumeration value="Kundeansvarlig Service"/>
                    <xsd:enumeration value="Kvalitetsplan BA"/>
                    <xsd:enumeration value="Kvalitetsplan Elektro"/>
                    <xsd:enumeration value="Kvalitetsplan Kulde"/>
                    <xsd:enumeration value="Kvalitetsplan Rør"/>
                    <xsd:enumeration value="Kvalitetsplan Vent"/>
                    <xsd:enumeration value="Kvalitetsplan Sikkerhet"/>
                    <xsd:enumeration value="KS-mappe"/>
                    <xsd:enumeration value="Miljøstyring"/>
                    <xsd:enumeration value="Polske dokumenter"/>
                    <xsd:enumeration value="Produktblader"/>
                    <xsd:enumeration value="Sikkerhetsinstrukser"/>
                    <xsd:enumeration value="Tilbuds- og kontraktsvedlegg"/>
                    <xsd:enumeration value="TTE"/>
                    <xsd:enumeration value="TTS"/>
                    <xsd:enumeration value="Oppdragsbeskrivelser"/>
                    <xsd:enumeration value="Planlegging og rapportering"/>
                    <xsd:enumeration value="EOS"/>
                    <xsd:enumeration value="Egenerklæringer"/>
                  </xsd:restriction>
                </xsd:simpleType>
              </xsd:element>
            </xsd:sequence>
          </xsd:extension>
        </xsd:complexContent>
      </xsd:complexType>
    </xsd:element>
    <xsd:element name="fokus" ma:index="10" nillable="true" ma:displayName="Fokus" ma:format="RadioButtons" ma:internalName="fokus" ma:readOnly="false">
      <xsd:simpleType>
        <xsd:restriction base="dms:Choice">
          <xsd:enumeration value="JA"/>
          <xsd:enumeration value="NEI"/>
        </xsd:restriction>
      </xsd:simpleType>
    </xsd:element>
    <xsd:element name="HvorIFokus" ma:index="11" nillable="true" ma:displayName="Hvor i Fokus" ma:internalName="HvorIFokus" ma:readOnly="false">
      <xsd:complexType>
        <xsd:complexContent>
          <xsd:extension base="dms:MultiChoice">
            <xsd:sequence>
              <xsd:element name="Value" maxOccurs="unbounded" minOccurs="0" nillable="true">
                <xsd:simpleType>
                  <xsd:restriction base="dms:Choice">
                    <xsd:enumeration value="F - Forretningspartner"/>
                    <xsd:enumeration value="B - Bygg"/>
                    <xsd:enumeration value="S - Salgsmuligheter"/>
                    <xsd:enumeration value="P - Prosjekter"/>
                    <xsd:enumeration value="PE - Prosjekter/endringer og avvik"/>
                    <xsd:enumeration value="H - Henvendelser"/>
                    <xsd:enumeration value="A - Avtaler"/>
                  </xsd:restriction>
                </xsd:simpleType>
              </xsd:element>
            </xsd:sequence>
          </xsd:extension>
        </xsd:complexContent>
      </xsd:complexType>
    </xsd:element>
    <xsd:element name="Kommentar" ma:index="12" nillable="true" ma:displayName="Kommentar" ma:internalName="Kommentar" ma:readOnly="false">
      <xsd:simpleType>
        <xsd:restriction base="dms:Note">
          <xsd:maxLength value="255"/>
        </xsd:restriction>
      </xsd:simpleType>
    </xsd:element>
    <xsd:element name="Kvalsysnr" ma:index="13" nillable="true" ma:displayName="Kvalsysnr" ma:indexed="true" ma:internalName="Kvalsysnr" ma:readOnly="false">
      <xsd:simpleType>
        <xsd:restriction base="dms:Text">
          <xsd:maxLength value="255"/>
        </xsd:restriction>
      </xsd:simpleType>
    </xsd:element>
    <xsd:element name="Virkomrade" ma:index="14" nillable="true" ma:displayName="Virkomrade" ma:internalName="Virkomrade" ma:readOnly="false">
      <xsd:complexType>
        <xsd:complexContent>
          <xsd:extension base="dms:MultiChoice">
            <xsd:sequence>
              <xsd:element name="Value" maxOccurs="unbounded" minOccurs="0" nillable="true">
                <xsd:simpleType>
                  <xsd:restriction base="dms:Choice">
                    <xsd:enumeration value="Entreprise"/>
                    <xsd:enumeration value="Service"/>
                    <xsd:enumeration value="Administrativt"/>
                  </xsd:restriction>
                </xsd:simpleType>
              </xsd:element>
            </xsd:sequence>
          </xsd:extension>
        </xsd:complexContent>
      </xsd:complexType>
    </xsd:element>
    <xsd:element name="Obligatorisk" ma:index="21" nillable="true" ma:displayName="Obligatorisk" ma:default="0" ma:description="Krysses av om dokumentet skal vises i Prosjektportalen" ma:indexed="true" ma:internalName="Obligatorisk" ma:readOnly="false">
      <xsd:simpleType>
        <xsd:restriction base="dms:Boolean"/>
      </xsd:simpleType>
    </xsd:element>
    <xsd:element name="Kontraktstandard" ma:index="22" nillable="true" ma:displayName="Kontraktstandard" ma:internalName="Kontraktstandard" ma:readOnly="false">
      <xsd:complexType>
        <xsd:complexContent>
          <xsd:extension base="dms:MultiChoice">
            <xsd:sequence>
              <xsd:element name="Value" maxOccurs="unbounded" minOccurs="0" nillable="true">
                <xsd:simpleType>
                  <xsd:restriction base="dms:Choice">
                    <xsd:enumeration value="NS3406"/>
                    <xsd:enumeration value="NS3430"/>
                    <xsd:enumeration value="NS3431"/>
                    <xsd:enumeration value="NS3433"/>
                    <xsd:enumeration value="NS8401"/>
                    <xsd:enumeration value="NS8402"/>
                    <xsd:enumeration value="NS8405"/>
                    <xsd:enumeration value="NS8406"/>
                    <xsd:enumeration value="NS8407"/>
                    <xsd:enumeration value="NS8415"/>
                    <xsd:enumeration value="NS8416"/>
                    <xsd:enumeration value="NS8417"/>
                    <xsd:enumeration value="NU06"/>
                    <xsd:enumeration value="NR06"/>
                    <xsd:enumeration value="NL09"/>
                    <xsd:enumeration value="NLM10"/>
                  </xsd:restriction>
                </xsd:simpleType>
              </xsd:element>
            </xsd:sequence>
          </xsd:extension>
        </xsd:complexContent>
      </xsd:complexType>
    </xsd:element>
    <xsd:element name="AddWithPPWizard" ma:index="23" nillable="true" ma:displayName="AddWithPPWizard" ma:default="0" ma:description="Dokument skal automatisk importeres til Prosjektportalen ved opprettelse av nytt prosjektrom under mappe &quot;KvalSys-dokumenter&quot;" ma:indexed="true" ma:internalName="AddWithPPWizard" ma:readOnly="false">
      <xsd:simpleType>
        <xsd:restriction base="dms:Boolean"/>
      </xsd:simpleType>
    </xsd:element>
    <xsd:element name="Egenskaper" ma:index="24" nillable="true" ma:displayName="Egenskaper" ma:internalName="Egenskaper" ma:readOnly="false">
      <xsd:simpleType>
        <xsd:restriction base="dms:Text">
          <xsd:maxLength value="255"/>
        </xsd:restriction>
      </xsd:simpleType>
    </xsd:element>
    <xsd:element name="TaxCatchAllLabel" ma:index="28" nillable="true" ma:displayName="Taxonomy Catch All Column1" ma:description="" ma:hidden="true" ma:list="{c227f55a-0a5d-464f-b298-8c8e01d0d9ca}" ma:internalName="TaxCatchAllLabel" ma:readOnly="true" ma:showField="CatchAllDataLabel" ma:web="2bd7c63c-edee-4218-9428-7a2e386f2d25">
      <xsd:complexType>
        <xsd:complexContent>
          <xsd:extension base="dms:MultiChoiceLookup">
            <xsd:sequence>
              <xsd:element name="Value" type="dms:Lookup" maxOccurs="unbounded" minOccurs="0" nillable="true"/>
            </xsd:sequence>
          </xsd:extension>
        </xsd:complexContent>
      </xsd:complexType>
    </xsd:element>
    <xsd:element name="TaxCatchAll" ma:index="34" nillable="true" ma:displayName="Taxonomy Catch All Column" ma:description="" ma:hidden="true" ma:list="{c227f55a-0a5d-464f-b298-8c8e01d0d9ca}" ma:internalName="TaxCatchAll" ma:readOnly="false" ma:showField="CatchAllData" ma:web="2bd7c63c-edee-4218-9428-7a2e386f2d2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e1130ba-2c37-491a-b27d-378e609cbe32" elementFormDefault="qualified">
    <xsd:import namespace="http://schemas.microsoft.com/office/2006/documentManagement/types"/>
    <xsd:import namespace="http://schemas.microsoft.com/office/infopath/2007/PartnerControls"/>
    <xsd:element name="AdminFunk" ma:index="16" nillable="true" ma:displayName="AdminFunk" ma:internalName="AdminFunk" ma:readOnly="false">
      <xsd:complexType>
        <xsd:complexContent>
          <xsd:extension base="dms:MultiChoice">
            <xsd:sequence>
              <xsd:element name="Value" maxOccurs="unbounded" minOccurs="0" nillable="true">
                <xsd:simpleType>
                  <xsd:restriction base="dms:Choice">
                    <xsd:enumeration value="IKT"/>
                    <xsd:enumeration value="Marked"/>
                    <xsd:enumeration value="Personal"/>
                    <xsd:enumeration value="Økonomi"/>
                  </xsd:restriction>
                </xsd:simpleType>
              </xsd:element>
            </xsd:sequence>
          </xsd:extension>
        </xsd:complexContent>
      </xsd:complexType>
    </xsd:element>
    <xsd:element name="Adressetest" ma:index="17" nillable="true" ma:displayName="FooterAdresse" ma:description="Her fylles inn kolonne 2 i footer" ma:internalName="Adressetest" ma:readOnly="false">
      <xsd:simpleType>
        <xsd:restriction base="dms:Note">
          <xsd:maxLength value="255"/>
        </xsd:restriction>
      </xsd:simpleType>
    </xsd:element>
    <xsd:element name="FooterFaktadr" ma:index="18" nillable="true" ma:displayName="FooterFaktadr" ma:description="Her fylles inn det som kommer i kolonne 3 i footer" ma:internalName="FooterFaktadr" ma:readOnly="false">
      <xsd:simpleType>
        <xsd:restriction base="dms:Note">
          <xsd:maxLength value="255"/>
        </xsd:restriction>
      </xsd:simpleType>
    </xsd:element>
    <xsd:element name="Selskapsinfo" ma:index="19" nillable="true" ma:displayName="FooterSelskapsinfo" ma:description="Her fylles inn det som kommer i footer kolonne 1" ma:internalName="Selskapsinfo" ma:readOnly="false">
      <xsd:simpleType>
        <xsd:restriction base="dms:Note">
          <xsd:maxLength value="255"/>
        </xsd:restriction>
      </xsd:simpleType>
    </xsd:element>
    <xsd:element name="Referanse" ma:index="20" nillable="true" ma:displayName="Referanse" ma:list="{be1130ba-2c37-491a-b27d-378e609cbe32}" ma:internalName="Referanse" ma:readOnly="false" ma:showField="Kvalsysnr">
      <xsd:complexType>
        <xsd:complexContent>
          <xsd:extension base="dms:MultiChoiceLookup">
            <xsd:sequence>
              <xsd:element name="Value" type="dms:Lookup" maxOccurs="unbounded" minOccurs="0" nillable="true"/>
            </xsd:sequence>
          </xsd:extension>
        </xsd:complexContent>
      </xsd:complexType>
    </xsd:element>
    <xsd:element name="DLCPolicyLabelValue" ma:index="3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4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41" nillable="true" ma:displayName="Label Locked" ma:description="Indicates whether the label should be updated when item properties are modified." ma:hidden="true" ma:internalName="DLCPolicyLabelLock" ma:readOnly="false">
      <xsd:simpleType>
        <xsd:restriction base="dms:Text"/>
      </xsd:simpleType>
    </xsd:element>
    <xsd:element name="MediaServiceMetadata" ma:index="42" nillable="true" ma:displayName="MediaServiceMetadata" ma:description="" ma:hidden="true" ma:internalName="MediaServiceMetadata" ma:readOnly="true">
      <xsd:simpleType>
        <xsd:restriction base="dms:Note"/>
      </xsd:simpleType>
    </xsd:element>
    <xsd:element name="MediaServiceFastMetadata" ma:index="43" nillable="true" ma:displayName="MediaServiceFastMetadata" ma:description="" ma:hidden="true" ma:internalName="MediaServiceFastMetadata" ma:readOnly="true">
      <xsd:simpleType>
        <xsd:restriction base="dms:Note"/>
      </xsd:simpleType>
    </xsd:element>
    <xsd:element name="MediaServiceAutoTags" ma:index="44" nillable="true" ma:displayName="MediaServiceAutoTags" ma:description="" ma:internalName="MediaServiceAutoTags" ma:readOnly="true">
      <xsd:simpleType>
        <xsd:restriction base="dms:Text"/>
      </xsd:simpleType>
    </xsd:element>
    <xsd:element name="MediaServiceDateTaken" ma:index="45" nillable="true" ma:displayName="MediaServiceDateTaken" ma:hidden="true" ma:internalName="MediaServiceDateTaken" ma:readOnly="true">
      <xsd:simpleType>
        <xsd:restriction base="dms:Text"/>
      </xsd:simpleType>
    </xsd:element>
    <xsd:element name="IFS" ma:index="46" nillable="true" ma:displayName="IFS" ma:default="0" ma:description="Trigger på om dokumentet benyttes i IFS. Feltet er også benyttet i workflow" ma:internalName="IFS">
      <xsd:simpleType>
        <xsd:restriction base="dms:Boolean"/>
      </xsd:simpleType>
    </xsd:element>
    <xsd:element name="MediaServiceAutoKeyPoints" ma:index="47" nillable="true" ma:displayName="MediaServiceAutoKeyPoints" ma:hidden="true" ma:internalName="MediaServiceAutoKeyPoints" ma:readOnly="true">
      <xsd:simpleType>
        <xsd:restriction base="dms:Note"/>
      </xsd:simpleType>
    </xsd:element>
    <xsd:element name="MediaServiceKeyPoints" ma:index="48" nillable="true" ma:displayName="KeyPoints" ma:internalName="MediaServiceKeyPoints" ma:readOnly="true">
      <xsd:simpleType>
        <xsd:restriction base="dms:Note">
          <xsd:maxLength value="255"/>
        </xsd:restriction>
      </xsd:simpleType>
    </xsd:element>
    <xsd:element name="Send_x0020_dokument_x0020_til_x0020_Utg_x00e5_tte_x0020_Dokumenter" ma:index="49" nillable="true" ma:displayName="Send dokument til Utgåtte Dokumenter" ma:internalName="Send_x0020_dokument_x0020_til_x0020_Utg_x00e5_tte_x0020_Dokumenter">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4aa1c1-2690-4de5-bbbc-335b28cd871a" elementFormDefault="qualified">
    <xsd:import namespace="http://schemas.microsoft.com/office/2006/documentManagement/types"/>
    <xsd:import namespace="http://schemas.microsoft.com/office/infopath/2007/PartnerControls"/>
    <xsd:element name="mb7740bf0ebb4c2ba18d41cd45ea0cf8" ma:index="29" nillable="true" ma:taxonomy="true" ma:internalName="mb7740bf0ebb4c2ba18d41cd45ea0cf8" ma:taxonomyFieldName="AdmFunk" ma:displayName="AdmFunk" ma:readOnly="false" ma:fieldId="{6b7740bf-0ebb-4c2b-a18d-41cd45ea0cf8}" ma:taxonomyMulti="true" ma:sspId="5364ed6d-5c56-459c-b169-9df74f13a64e" ma:termSetId="35eb868a-aa00-4247-9255-ae408816aaad" ma:anchorId="00000000-0000-0000-0000-000000000000" ma:open="false" ma:isKeyword="false">
      <xsd:complexType>
        <xsd:sequence>
          <xsd:element ref="pc:Terms" minOccurs="0" maxOccurs="1"/>
        </xsd:sequence>
      </xsd:complexType>
    </xsd:element>
    <xsd:element name="SharedWithUsers" ma:index="36"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7"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0"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LongProperties xmlns="http://schemas.microsoft.com/office/2006/metadata/longProperties"/>
</file>

<file path=customXml/item6.xml><?xml version="1.0" encoding="utf-8"?>
<p:properties xmlns:p="http://schemas.microsoft.com/office/2006/metadata/properties" xmlns:xsi="http://www.w3.org/2001/XMLSchema-instance" xmlns:pc="http://schemas.microsoft.com/office/infopath/2007/PartnerControls">
  <documentManagement>
    <DLCPolicyLabelLock xmlns="be1130ba-2c37-491a-b27d-378e609cbe32" xsi:nil="true"/>
    <TaxCatchAll xmlns="2bd7c63c-edee-4218-9428-7a2e386f2d25"/>
    <Kontraktstandard xmlns="2bd7c63c-edee-4218-9428-7a2e386f2d25"/>
    <AddWithPPWizard xmlns="2bd7c63c-edee-4218-9428-7a2e386f2d25">false</AddWithPPWizard>
    <_DCDateModified xmlns="http://schemas.microsoft.com/sharepoint/v3/fields">2022-09-19T22:00:00+00:00</_DCDateModified>
    <Fag xmlns="2bd7c63c-edee-4218-9428-7a2e386f2d25">
      <Value>Byggautomasjon</Value>
    </Fag>
    <Adressetest xmlns="be1130ba-2c37-491a-b27d-378e609cbe32" xsi:nil="true"/>
    <Dokstatus xmlns="2bd7c63c-edee-4218-9428-7a2e386f2d25">Publisert</Dokstatus>
    <HvorIFokus xmlns="2bd7c63c-edee-4218-9428-7a2e386f2d25"/>
    <Virkomrade xmlns="2bd7c63c-edee-4218-9428-7a2e386f2d25">
      <Value>Entreprise</Value>
    </Virkomrade>
    <AdminFunk xmlns="be1130ba-2c37-491a-b27d-378e609cbe32"/>
    <DLCPolicyLabelClientValue xmlns="be1130ba-2c37-491a-b27d-378e609cbe32">{_UIVersionString}</DLCPolicyLabelClientValue>
    <RevAnsvarlig xmlns="2bd7c63c-edee-4218-9428-7a2e386f2d25">
      <UserInfo>
        <DisplayName/>
        <AccountId>107</AccountId>
        <AccountType/>
      </UserInfo>
    </RevAnsvarlig>
    <FooterFaktadr xmlns="be1130ba-2c37-491a-b27d-378e609cbe32" xsi:nil="true"/>
    <Fase xmlns="2bd7c63c-edee-4218-9428-7a2e386f2d25">
      <Value>Fase 4 - Forprosjektering</Value>
    </Fase>
    <Kommentar xmlns="2bd7c63c-edee-4218-9428-7a2e386f2d25">20.09.22 Oppdatert med ny logo</Kommentar>
    <fokus xmlns="2bd7c63c-edee-4218-9428-7a2e386f2d25">NEI</fokus>
    <Selskapsinfo xmlns="be1130ba-2c37-491a-b27d-378e609cbe32" xsi:nil="true"/>
    <IFS xmlns="be1130ba-2c37-491a-b27d-378e609cbe32">false</IFS>
    <Dokumenttype xmlns="2bd7c63c-edee-4218-9428-7a2e386f2d25">Hjelpemiddel</Dokumenttype>
    <Eier xmlns="2bd7c63c-edee-4218-9428-7a2e386f2d25">
      <UserInfo>
        <DisplayName/>
        <AccountId>5704</AccountId>
        <AccountType/>
      </UserInfo>
    </Eier>
    <Mapper xmlns="2bd7c63c-edee-4218-9428-7a2e386f2d25">
      <Value>Kvalitetsplan BA</Value>
    </Mapper>
    <Kvalsysnr xmlns="2bd7c63c-edee-4218-9428-7a2e386f2d25">48-571</Kvalsysnr>
    <Obligatorisk xmlns="2bd7c63c-edee-4218-9428-7a2e386f2d25">true</Obligatorisk>
    <mb7740bf0ebb4c2ba18d41cd45ea0cf8 xmlns="0b4aa1c1-2690-4de5-bbbc-335b28cd871a">
      <Terms xmlns="http://schemas.microsoft.com/office/infopath/2007/PartnerControls"/>
    </mb7740bf0ebb4c2ba18d41cd45ea0cf8>
    <Send_x0020_dokument_x0020_til_x0020_Utg_x00e5_tte_x0020_Dokumenter xmlns="be1130ba-2c37-491a-b27d-378e609cbe32">
      <Url xsi:nil="true"/>
      <Description xsi:nil="true"/>
    </Send_x0020_dokument_x0020_til_x0020_Utg_x00e5_tte_x0020_Dokumenter>
    <Egenskaper xmlns="2bd7c63c-edee-4218-9428-7a2e386f2d25">&lt;DIV&gt;&lt;a href='#' onclick='MetaModal(470)'&gt;&lt;img src='/_layouts/images/edititem.gif' border='none' /&gt;&lt;/a&gt;&lt;/DIV&gt;</Egenskaper>
    <Referanse xmlns="be1130ba-2c37-491a-b27d-378e609cbe32">
      <Value>453</Value>
    </Referanse>
    <_DCDateCreated xmlns="http://schemas.microsoft.com/sharepoint/v3/fields">2010-04-11T22:00:00+00:00</_DCDateCreated>
  </documentManagement>
</p:properties>
</file>

<file path=customXml/itemProps1.xml><?xml version="1.0" encoding="utf-8"?>
<ds:datastoreItem xmlns:ds="http://schemas.openxmlformats.org/officeDocument/2006/customXml" ds:itemID="{FA5E41D1-21A9-4F24-B709-E52F2D31AC71}">
  <ds:schemaRefs>
    <ds:schemaRef ds:uri="office.server.policy"/>
  </ds:schemaRefs>
</ds:datastoreItem>
</file>

<file path=customXml/itemProps2.xml><?xml version="1.0" encoding="utf-8"?>
<ds:datastoreItem xmlns:ds="http://schemas.openxmlformats.org/officeDocument/2006/customXml" ds:itemID="{9F508EEB-4EAD-4016-99BF-25D6D8C9AB33}">
  <ds:schemaRefs>
    <ds:schemaRef ds:uri="http://schemas.microsoft.com/office/2006/metadata/customXsn"/>
  </ds:schemaRefs>
</ds:datastoreItem>
</file>

<file path=customXml/itemProps3.xml><?xml version="1.0" encoding="utf-8"?>
<ds:datastoreItem xmlns:ds="http://schemas.openxmlformats.org/officeDocument/2006/customXml" ds:itemID="{C73A79CF-485B-460F-878A-4494C5EFC0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3/fields"/>
    <ds:schemaRef ds:uri="2bd7c63c-edee-4218-9428-7a2e386f2d25"/>
    <ds:schemaRef ds:uri="be1130ba-2c37-491a-b27d-378e609cbe32"/>
    <ds:schemaRef ds:uri="0b4aa1c1-2690-4de5-bbbc-335b28cd8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BDBF330-CCB4-4AA1-A7EF-BF0264F65927}">
  <ds:schemaRefs>
    <ds:schemaRef ds:uri="http://schemas.microsoft.com/sharepoint/v3/contenttype/forms"/>
  </ds:schemaRefs>
</ds:datastoreItem>
</file>

<file path=customXml/itemProps5.xml><?xml version="1.0" encoding="utf-8"?>
<ds:datastoreItem xmlns:ds="http://schemas.openxmlformats.org/officeDocument/2006/customXml" ds:itemID="{3F24BEB6-B3EE-4A02-8D91-66AD0F5C9EE7}">
  <ds:schemaRefs>
    <ds:schemaRef ds:uri="http://schemas.microsoft.com/office/2006/metadata/longProperties"/>
  </ds:schemaRefs>
</ds:datastoreItem>
</file>

<file path=customXml/itemProps6.xml><?xml version="1.0" encoding="utf-8"?>
<ds:datastoreItem xmlns:ds="http://schemas.openxmlformats.org/officeDocument/2006/customXml" ds:itemID="{515513C5-3F38-43E1-A50D-6B02EADC25F1}">
  <ds:schemaRefs>
    <ds:schemaRef ds:uri="http://purl.org/dc/terms/"/>
    <ds:schemaRef ds:uri="http://schemas.microsoft.com/office/2006/metadata/properties"/>
    <ds:schemaRef ds:uri="http://purl.org/dc/dcmitype/"/>
    <ds:schemaRef ds:uri="http://schemas.microsoft.com/office/2006/documentManagement/types"/>
    <ds:schemaRef ds:uri="2bd7c63c-edee-4218-9428-7a2e386f2d25"/>
    <ds:schemaRef ds:uri="http://schemas.microsoft.com/office/infopath/2007/PartnerControls"/>
    <ds:schemaRef ds:uri="http://schemas.openxmlformats.org/package/2006/metadata/core-properties"/>
    <ds:schemaRef ds:uri="http://schemas.microsoft.com/sharepoint/v3"/>
    <ds:schemaRef ds:uri="http://www.w3.org/XML/1998/namespace"/>
    <ds:schemaRef ds:uri="http://purl.org/dc/elements/1.1/"/>
    <ds:schemaRef ds:uri="0b4aa1c1-2690-4de5-bbbc-335b28cd871a"/>
    <ds:schemaRef ds:uri="be1130ba-2c37-491a-b27d-378e609cbe32"/>
    <ds:schemaRef ds:uri="http://schemas.microsoft.com/sharepoint/v3/field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Database</vt:lpstr>
      <vt:lpstr>Revisjonsoversikt</vt:lpstr>
      <vt:lpstr>Framdriftsrapport</vt:lpstr>
      <vt:lpstr>Fargekoder</vt:lpstr>
      <vt:lpstr>Hjelp</vt:lpstr>
      <vt:lpstr>Semantic</vt:lpstr>
      <vt:lpstr>Errors</vt:lpstr>
      <vt:lpstr>Mall Logo</vt:lpstr>
      <vt:lpstr>Database!Print_Area</vt:lpstr>
      <vt:lpstr>Framdriftsrapport!Print_Area</vt:lpstr>
      <vt:lpstr>Revisjonsoversikt!Print_Area</vt:lpstr>
      <vt:lpstr>Database!Print_Titles</vt:lpstr>
      <vt:lpstr>Revisjonsoversikt!Print_Titles</vt:lpstr>
      <vt:lpstr>Ytelse</vt:lpstr>
    </vt:vector>
  </TitlesOfParts>
  <Company>Gunnar Karlsen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Teknisk database for SD</dc:title>
  <dc:creator>Kvalitet</dc:creator>
  <cp:keywords>48-571</cp:keywords>
  <cp:lastModifiedBy>Bertheussen, Morten</cp:lastModifiedBy>
  <cp:lastPrinted>2010-04-27T13:18:33Z</cp:lastPrinted>
  <dcterms:created xsi:type="dcterms:W3CDTF">1998-11-25T13:38:51Z</dcterms:created>
  <dcterms:modified xsi:type="dcterms:W3CDTF">2025-01-30T21:40:48Z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TaxHTField">
    <vt:lpwstr>48-571|502b5639-3a76-4990-ae9d-d5432dd91c61</vt:lpwstr>
  </property>
  <property fmtid="{D5CDD505-2E9C-101B-9397-08002B2CF9AE}" pid="3" name="TaxKeyword">
    <vt:lpwstr>1618;#48-571|502b5639-3a76-4990-ae9d-d5432dd91c61</vt:lpwstr>
  </property>
  <property fmtid="{D5CDD505-2E9C-101B-9397-08002B2CF9AE}" pid="4" name="display_urn:schemas-microsoft-com:office:office#Eier">
    <vt:lpwstr>2081 Divisjon BT&amp;U (KvalSys)</vt:lpwstr>
  </property>
  <property fmtid="{D5CDD505-2E9C-101B-9397-08002B2CF9AE}" pid="5" name="display_urn:schemas-microsoft-com:office:office#RevAnsvarlig">
    <vt:lpwstr>Johannesen, Roar</vt:lpwstr>
  </property>
  <property fmtid="{D5CDD505-2E9C-101B-9397-08002B2CF9AE}" pid="6" name="Mappe">
    <vt:lpwstr/>
  </property>
  <property fmtid="{D5CDD505-2E9C-101B-9397-08002B2CF9AE}" pid="7" name="WorkflowCreationPath">
    <vt:lpwstr>9df2103a-dc91-463d-be4b-fb8f829d3cef,9;75c9066f-c2b8-456b-884d-ea6b83065c81,8;</vt:lpwstr>
  </property>
  <property fmtid="{D5CDD505-2E9C-101B-9397-08002B2CF9AE}" pid="8" name="Order">
    <vt:lpwstr>9100.00000000000</vt:lpwstr>
  </property>
  <property fmtid="{D5CDD505-2E9C-101B-9397-08002B2CF9AE}" pid="9" name="AdmFunk">
    <vt:lpwstr/>
  </property>
  <property fmtid="{D5CDD505-2E9C-101B-9397-08002B2CF9AE}" pid="10" name="DLCPolicyLabelValue">
    <vt:lpwstr>1.7</vt:lpwstr>
  </property>
  <property fmtid="{D5CDD505-2E9C-101B-9397-08002B2CF9AE}" pid="11" name="display_urn:schemas-microsoft-com:office:office#Editor">
    <vt:lpwstr>Fevang, Anders</vt:lpwstr>
  </property>
  <property fmtid="{D5CDD505-2E9C-101B-9397-08002B2CF9AE}" pid="12" name="display_urn:schemas-microsoft-com:office:office#Author">
    <vt:lpwstr>AdminUmoeHenneli</vt:lpwstr>
  </property>
</Properties>
</file>